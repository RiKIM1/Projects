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zo\Downloads\"/>
    </mc:Choice>
  </mc:AlternateContent>
  <xr:revisionPtr revIDLastSave="0" documentId="13_ncr:1_{D5EDD9BB-AB75-4ED0-97D5-91F94B3CDC93}" xr6:coauthVersionLast="47" xr6:coauthVersionMax="47" xr10:uidLastSave="{00000000-0000-0000-0000-000000000000}"/>
  <bookViews>
    <workbookView xWindow="-120" yWindow="-120" windowWidth="20730" windowHeight="11160" xr2:uid="{49E1FB98-80B6-4590-B56D-D7378F033E4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" l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B60" i="1"/>
  <c r="D57" i="1"/>
  <c r="E57" i="1"/>
  <c r="F57" i="1"/>
  <c r="G57" i="1"/>
  <c r="G58" i="1" s="1"/>
  <c r="H57" i="1"/>
  <c r="I57" i="1"/>
  <c r="J57" i="1"/>
  <c r="K57" i="1"/>
  <c r="K58" i="1" s="1"/>
  <c r="L57" i="1"/>
  <c r="M57" i="1"/>
  <c r="N57" i="1"/>
  <c r="O57" i="1"/>
  <c r="P57" i="1"/>
  <c r="Q57" i="1"/>
  <c r="R57" i="1"/>
  <c r="S57" i="1"/>
  <c r="S58" i="1" s="1"/>
  <c r="T57" i="1"/>
  <c r="U57" i="1"/>
  <c r="V57" i="1"/>
  <c r="W57" i="1"/>
  <c r="W58" i="1" s="1"/>
  <c r="X57" i="1"/>
  <c r="Y57" i="1"/>
  <c r="Z57" i="1"/>
  <c r="AA57" i="1"/>
  <c r="AA58" i="1" s="1"/>
  <c r="AB57" i="1"/>
  <c r="AC57" i="1"/>
  <c r="AD57" i="1"/>
  <c r="AE57" i="1"/>
  <c r="AF57" i="1"/>
  <c r="AG57" i="1"/>
  <c r="AH57" i="1"/>
  <c r="AI57" i="1"/>
  <c r="AI58" i="1" s="1"/>
  <c r="AJ57" i="1"/>
  <c r="AK57" i="1"/>
  <c r="AL57" i="1"/>
  <c r="AM57" i="1"/>
  <c r="AM58" i="1" s="1"/>
  <c r="AN57" i="1"/>
  <c r="AO57" i="1"/>
  <c r="AP57" i="1"/>
  <c r="AQ57" i="1"/>
  <c r="AQ58" i="1" s="1"/>
  <c r="C57" i="1"/>
  <c r="C56" i="1"/>
  <c r="D56" i="1"/>
  <c r="E56" i="1"/>
  <c r="F56" i="1"/>
  <c r="G56" i="1"/>
  <c r="H56" i="1"/>
  <c r="I56" i="1"/>
  <c r="J56" i="1"/>
  <c r="J59" i="1" s="1"/>
  <c r="K56" i="1"/>
  <c r="L56" i="1"/>
  <c r="M56" i="1"/>
  <c r="N56" i="1"/>
  <c r="N59" i="1" s="1"/>
  <c r="O56" i="1"/>
  <c r="P56" i="1"/>
  <c r="Q56" i="1"/>
  <c r="R56" i="1"/>
  <c r="S56" i="1"/>
  <c r="T56" i="1"/>
  <c r="U56" i="1"/>
  <c r="V56" i="1"/>
  <c r="V59" i="1" s="1"/>
  <c r="W56" i="1"/>
  <c r="X56" i="1"/>
  <c r="Y56" i="1"/>
  <c r="Z56" i="1"/>
  <c r="AA56" i="1"/>
  <c r="AB56" i="1"/>
  <c r="AC56" i="1"/>
  <c r="AD56" i="1"/>
  <c r="AD59" i="1" s="1"/>
  <c r="AE56" i="1"/>
  <c r="AF56" i="1"/>
  <c r="AG56" i="1"/>
  <c r="AH56" i="1"/>
  <c r="AH59" i="1" s="1"/>
  <c r="AI56" i="1"/>
  <c r="AJ56" i="1"/>
  <c r="AK56" i="1"/>
  <c r="AL56" i="1"/>
  <c r="AM56" i="1"/>
  <c r="AN56" i="1"/>
  <c r="AO56" i="1"/>
  <c r="AP56" i="1"/>
  <c r="AP59" i="1" s="1"/>
  <c r="AQ56" i="1"/>
  <c r="B56" i="1"/>
  <c r="B59" i="1" s="1"/>
  <c r="D52" i="1"/>
  <c r="E52" i="1"/>
  <c r="F52" i="1"/>
  <c r="G52" i="1"/>
  <c r="G55" i="1" s="1"/>
  <c r="H52" i="1"/>
  <c r="I52" i="1"/>
  <c r="J52" i="1"/>
  <c r="J55" i="1" s="1"/>
  <c r="K52" i="1"/>
  <c r="L52" i="1"/>
  <c r="M52" i="1"/>
  <c r="N52" i="1"/>
  <c r="N55" i="1" s="1"/>
  <c r="O52" i="1"/>
  <c r="O55" i="1" s="1"/>
  <c r="P52" i="1"/>
  <c r="Q52" i="1"/>
  <c r="R52" i="1"/>
  <c r="S52" i="1"/>
  <c r="S55" i="1" s="1"/>
  <c r="T52" i="1"/>
  <c r="U52" i="1"/>
  <c r="V52" i="1"/>
  <c r="W52" i="1"/>
  <c r="W55" i="1" s="1"/>
  <c r="X52" i="1"/>
  <c r="Y52" i="1"/>
  <c r="Z52" i="1"/>
  <c r="Z55" i="1" s="1"/>
  <c r="AA52" i="1"/>
  <c r="AB52" i="1"/>
  <c r="AC52" i="1"/>
  <c r="AD52" i="1"/>
  <c r="AD55" i="1" s="1"/>
  <c r="AE52" i="1"/>
  <c r="AE55" i="1" s="1"/>
  <c r="AF52" i="1"/>
  <c r="AG52" i="1"/>
  <c r="AH52" i="1"/>
  <c r="AI52" i="1"/>
  <c r="AI55" i="1" s="1"/>
  <c r="AJ52" i="1"/>
  <c r="AK52" i="1"/>
  <c r="AL52" i="1"/>
  <c r="AM52" i="1"/>
  <c r="AM55" i="1" s="1"/>
  <c r="AN52" i="1"/>
  <c r="AO52" i="1"/>
  <c r="AP52" i="1"/>
  <c r="AP55" i="1" s="1"/>
  <c r="AQ52" i="1"/>
  <c r="C52" i="1"/>
  <c r="D51" i="1"/>
  <c r="E51" i="1"/>
  <c r="F51" i="1"/>
  <c r="G51" i="1"/>
  <c r="G54" i="1" s="1"/>
  <c r="H51" i="1"/>
  <c r="I51" i="1"/>
  <c r="J51" i="1"/>
  <c r="J54" i="1" s="1"/>
  <c r="K51" i="1"/>
  <c r="L51" i="1"/>
  <c r="M51" i="1"/>
  <c r="N51" i="1"/>
  <c r="N54" i="1" s="1"/>
  <c r="O51" i="1"/>
  <c r="O54" i="1" s="1"/>
  <c r="P51" i="1"/>
  <c r="Q51" i="1"/>
  <c r="R51" i="1"/>
  <c r="S51" i="1"/>
  <c r="S54" i="1" s="1"/>
  <c r="T51" i="1"/>
  <c r="U51" i="1"/>
  <c r="V51" i="1"/>
  <c r="W51" i="1"/>
  <c r="W54" i="1" s="1"/>
  <c r="X51" i="1"/>
  <c r="Y51" i="1"/>
  <c r="Z51" i="1"/>
  <c r="Z54" i="1" s="1"/>
  <c r="AA51" i="1"/>
  <c r="AB51" i="1"/>
  <c r="AC51" i="1"/>
  <c r="AD51" i="1"/>
  <c r="AD54" i="1" s="1"/>
  <c r="AE51" i="1"/>
  <c r="AE54" i="1" s="1"/>
  <c r="AF51" i="1"/>
  <c r="AG51" i="1"/>
  <c r="AH51" i="1"/>
  <c r="AI51" i="1"/>
  <c r="AI54" i="1" s="1"/>
  <c r="AJ51" i="1"/>
  <c r="AK51" i="1"/>
  <c r="AL51" i="1"/>
  <c r="AM51" i="1"/>
  <c r="AM54" i="1" s="1"/>
  <c r="AN51" i="1"/>
  <c r="AO51" i="1"/>
  <c r="AP51" i="1"/>
  <c r="AP54" i="1" s="1"/>
  <c r="AQ51" i="1"/>
  <c r="C51" i="1"/>
  <c r="D50" i="1"/>
  <c r="E50" i="1"/>
  <c r="F50" i="1"/>
  <c r="G50" i="1"/>
  <c r="G53" i="1" s="1"/>
  <c r="H50" i="1"/>
  <c r="I50" i="1"/>
  <c r="J50" i="1"/>
  <c r="K50" i="1"/>
  <c r="L50" i="1"/>
  <c r="M50" i="1"/>
  <c r="N50" i="1"/>
  <c r="O50" i="1"/>
  <c r="O53" i="1" s="1"/>
  <c r="P50" i="1"/>
  <c r="Q50" i="1"/>
  <c r="R50" i="1"/>
  <c r="S50" i="1"/>
  <c r="S53" i="1" s="1"/>
  <c r="T50" i="1"/>
  <c r="U50" i="1"/>
  <c r="V50" i="1"/>
  <c r="W50" i="1"/>
  <c r="W53" i="1" s="1"/>
  <c r="X50" i="1"/>
  <c r="Y50" i="1"/>
  <c r="Z50" i="1"/>
  <c r="AA50" i="1"/>
  <c r="AB50" i="1"/>
  <c r="AC50" i="1"/>
  <c r="AD50" i="1"/>
  <c r="AE50" i="1"/>
  <c r="AE53" i="1" s="1"/>
  <c r="AF50" i="1"/>
  <c r="AG50" i="1"/>
  <c r="AH50" i="1"/>
  <c r="AI50" i="1"/>
  <c r="AI53" i="1" s="1"/>
  <c r="AJ50" i="1"/>
  <c r="AK50" i="1"/>
  <c r="AL50" i="1"/>
  <c r="AM50" i="1"/>
  <c r="AM53" i="1" s="1"/>
  <c r="AN50" i="1"/>
  <c r="AO50" i="1"/>
  <c r="AP50" i="1"/>
  <c r="AQ50" i="1"/>
  <c r="C50" i="1"/>
  <c r="AO58" i="1"/>
  <c r="AK58" i="1"/>
  <c r="AG58" i="1"/>
  <c r="AC58" i="1"/>
  <c r="Y58" i="1"/>
  <c r="U58" i="1"/>
  <c r="Q58" i="1"/>
  <c r="M58" i="1"/>
  <c r="I58" i="1"/>
  <c r="E58" i="1"/>
  <c r="AO59" i="1"/>
  <c r="AN58" i="1"/>
  <c r="AK59" i="1"/>
  <c r="AJ58" i="1"/>
  <c r="AG59" i="1"/>
  <c r="AF58" i="1"/>
  <c r="AE58" i="1"/>
  <c r="AC59" i="1"/>
  <c r="AB58" i="1"/>
  <c r="Y59" i="1"/>
  <c r="X58" i="1"/>
  <c r="U59" i="1"/>
  <c r="T58" i="1"/>
  <c r="Q59" i="1"/>
  <c r="P58" i="1"/>
  <c r="O58" i="1"/>
  <c r="M59" i="1"/>
  <c r="L58" i="1"/>
  <c r="I59" i="1"/>
  <c r="H58" i="1"/>
  <c r="E59" i="1"/>
  <c r="D58" i="1"/>
  <c r="C58" i="1"/>
  <c r="AN55" i="1"/>
  <c r="AJ55" i="1"/>
  <c r="AF55" i="1"/>
  <c r="AB55" i="1"/>
  <c r="X55" i="1"/>
  <c r="T55" i="1"/>
  <c r="P55" i="1"/>
  <c r="L55" i="1"/>
  <c r="H55" i="1"/>
  <c r="D55" i="1"/>
  <c r="AO54" i="1"/>
  <c r="AK54" i="1"/>
  <c r="AG54" i="1"/>
  <c r="AC54" i="1"/>
  <c r="Y54" i="1"/>
  <c r="U54" i="1"/>
  <c r="Q54" i="1"/>
  <c r="M54" i="1"/>
  <c r="I54" i="1"/>
  <c r="E54" i="1"/>
  <c r="AP53" i="1"/>
  <c r="AL53" i="1"/>
  <c r="AH53" i="1"/>
  <c r="AD53" i="1"/>
  <c r="Z53" i="1"/>
  <c r="V53" i="1"/>
  <c r="R53" i="1"/>
  <c r="N53" i="1"/>
  <c r="J53" i="1"/>
  <c r="F53" i="1"/>
  <c r="AQ55" i="1"/>
  <c r="AO55" i="1"/>
  <c r="AL55" i="1"/>
  <c r="AK55" i="1"/>
  <c r="AH55" i="1"/>
  <c r="AG55" i="1"/>
  <c r="AC55" i="1"/>
  <c r="AA55" i="1"/>
  <c r="Y55" i="1"/>
  <c r="V55" i="1"/>
  <c r="U55" i="1"/>
  <c r="R55" i="1"/>
  <c r="Q55" i="1"/>
  <c r="M55" i="1"/>
  <c r="K55" i="1"/>
  <c r="I55" i="1"/>
  <c r="F55" i="1"/>
  <c r="E55" i="1"/>
  <c r="C55" i="1"/>
  <c r="AQ54" i="1"/>
  <c r="AN54" i="1"/>
  <c r="AL54" i="1"/>
  <c r="AJ54" i="1"/>
  <c r="AH54" i="1"/>
  <c r="AF54" i="1"/>
  <c r="AB54" i="1"/>
  <c r="AA54" i="1"/>
  <c r="X54" i="1"/>
  <c r="V54" i="1"/>
  <c r="T54" i="1"/>
  <c r="R54" i="1"/>
  <c r="P54" i="1"/>
  <c r="L54" i="1"/>
  <c r="K54" i="1"/>
  <c r="H54" i="1"/>
  <c r="F54" i="1"/>
  <c r="D54" i="1"/>
  <c r="C54" i="1"/>
  <c r="AQ53" i="1"/>
  <c r="AO53" i="1"/>
  <c r="AN53" i="1"/>
  <c r="AK53" i="1"/>
  <c r="AJ53" i="1"/>
  <c r="AG53" i="1"/>
  <c r="AF53" i="1"/>
  <c r="AC53" i="1"/>
  <c r="AB53" i="1"/>
  <c r="AA53" i="1"/>
  <c r="Y53" i="1"/>
  <c r="X53" i="1"/>
  <c r="U53" i="1"/>
  <c r="T53" i="1"/>
  <c r="Q53" i="1"/>
  <c r="P53" i="1"/>
  <c r="M53" i="1"/>
  <c r="L53" i="1"/>
  <c r="K53" i="1"/>
  <c r="I53" i="1"/>
  <c r="H53" i="1"/>
  <c r="E53" i="1"/>
  <c r="D53" i="1"/>
  <c r="C53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B47" i="1"/>
  <c r="C45" i="1"/>
  <c r="D44" i="1"/>
  <c r="E44" i="1"/>
  <c r="F44" i="1"/>
  <c r="G44" i="1"/>
  <c r="G45" i="1" s="1"/>
  <c r="H44" i="1"/>
  <c r="I44" i="1"/>
  <c r="J44" i="1"/>
  <c r="K44" i="1"/>
  <c r="K45" i="1" s="1"/>
  <c r="L44" i="1"/>
  <c r="M44" i="1"/>
  <c r="N44" i="1"/>
  <c r="O44" i="1"/>
  <c r="O45" i="1" s="1"/>
  <c r="P44" i="1"/>
  <c r="Q44" i="1"/>
  <c r="R44" i="1"/>
  <c r="S44" i="1"/>
  <c r="T44" i="1"/>
  <c r="U44" i="1"/>
  <c r="V44" i="1"/>
  <c r="W44" i="1"/>
  <c r="W45" i="1" s="1"/>
  <c r="X44" i="1"/>
  <c r="Y44" i="1"/>
  <c r="Z44" i="1"/>
  <c r="AA44" i="1"/>
  <c r="AA45" i="1" s="1"/>
  <c r="AB44" i="1"/>
  <c r="AC44" i="1"/>
  <c r="AD44" i="1"/>
  <c r="AE44" i="1"/>
  <c r="AE45" i="1" s="1"/>
  <c r="AF44" i="1"/>
  <c r="AG44" i="1"/>
  <c r="AH44" i="1"/>
  <c r="AI44" i="1"/>
  <c r="AJ44" i="1"/>
  <c r="AK44" i="1"/>
  <c r="AL44" i="1"/>
  <c r="AM44" i="1"/>
  <c r="AM45" i="1" s="1"/>
  <c r="AN44" i="1"/>
  <c r="AO44" i="1"/>
  <c r="AP44" i="1"/>
  <c r="AQ44" i="1"/>
  <c r="AQ45" i="1" s="1"/>
  <c r="C44" i="1"/>
  <c r="C43" i="1"/>
  <c r="D43" i="1"/>
  <c r="E43" i="1"/>
  <c r="E45" i="1" s="1"/>
  <c r="F43" i="1"/>
  <c r="G43" i="1"/>
  <c r="H43" i="1"/>
  <c r="I43" i="1"/>
  <c r="I45" i="1" s="1"/>
  <c r="J43" i="1"/>
  <c r="K43" i="1"/>
  <c r="L43" i="1"/>
  <c r="M43" i="1"/>
  <c r="M45" i="1" s="1"/>
  <c r="N43" i="1"/>
  <c r="O43" i="1"/>
  <c r="P43" i="1"/>
  <c r="Q43" i="1"/>
  <c r="Q45" i="1" s="1"/>
  <c r="R43" i="1"/>
  <c r="S43" i="1"/>
  <c r="T43" i="1"/>
  <c r="U43" i="1"/>
  <c r="U45" i="1" s="1"/>
  <c r="V43" i="1"/>
  <c r="W43" i="1"/>
  <c r="X43" i="1"/>
  <c r="Y43" i="1"/>
  <c r="Y45" i="1" s="1"/>
  <c r="Z43" i="1"/>
  <c r="AA43" i="1"/>
  <c r="AB43" i="1"/>
  <c r="AC43" i="1"/>
  <c r="AC45" i="1" s="1"/>
  <c r="AD43" i="1"/>
  <c r="AE43" i="1"/>
  <c r="AF43" i="1"/>
  <c r="AG43" i="1"/>
  <c r="AG45" i="1" s="1"/>
  <c r="AH43" i="1"/>
  <c r="AI43" i="1"/>
  <c r="AJ43" i="1"/>
  <c r="AK43" i="1"/>
  <c r="AK45" i="1" s="1"/>
  <c r="AL43" i="1"/>
  <c r="AM43" i="1"/>
  <c r="AN43" i="1"/>
  <c r="AO43" i="1"/>
  <c r="AO45" i="1" s="1"/>
  <c r="AP43" i="1"/>
  <c r="AQ43" i="1"/>
  <c r="B43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C40" i="1"/>
  <c r="D39" i="1"/>
  <c r="E39" i="1"/>
  <c r="F39" i="1"/>
  <c r="G39" i="1"/>
  <c r="G42" i="1" s="1"/>
  <c r="H39" i="1"/>
  <c r="I39" i="1"/>
  <c r="J39" i="1"/>
  <c r="K39" i="1"/>
  <c r="K42" i="1" s="1"/>
  <c r="L39" i="1"/>
  <c r="M39" i="1"/>
  <c r="N39" i="1"/>
  <c r="N42" i="1" s="1"/>
  <c r="O39" i="1"/>
  <c r="O42" i="1" s="1"/>
  <c r="P39" i="1"/>
  <c r="Q39" i="1"/>
  <c r="Q42" i="1" s="1"/>
  <c r="R39" i="1"/>
  <c r="R42" i="1" s="1"/>
  <c r="S39" i="1"/>
  <c r="T39" i="1"/>
  <c r="U39" i="1"/>
  <c r="V39" i="1"/>
  <c r="W39" i="1"/>
  <c r="W42" i="1" s="1"/>
  <c r="X39" i="1"/>
  <c r="Y39" i="1"/>
  <c r="Z39" i="1"/>
  <c r="AA39" i="1"/>
  <c r="AA42" i="1" s="1"/>
  <c r="AB39" i="1"/>
  <c r="AC39" i="1"/>
  <c r="AD39" i="1"/>
  <c r="AD42" i="1" s="1"/>
  <c r="AE39" i="1"/>
  <c r="AE42" i="1" s="1"/>
  <c r="AF39" i="1"/>
  <c r="AG39" i="1"/>
  <c r="AG42" i="1" s="1"/>
  <c r="AH39" i="1"/>
  <c r="AH42" i="1" s="1"/>
  <c r="AI39" i="1"/>
  <c r="AJ39" i="1"/>
  <c r="AK39" i="1"/>
  <c r="AL39" i="1"/>
  <c r="AM39" i="1"/>
  <c r="AM42" i="1" s="1"/>
  <c r="AN39" i="1"/>
  <c r="AO39" i="1"/>
  <c r="AP39" i="1"/>
  <c r="AQ39" i="1"/>
  <c r="AQ42" i="1" s="1"/>
  <c r="C39" i="1"/>
  <c r="C42" i="1" s="1"/>
  <c r="D38" i="1"/>
  <c r="E38" i="1"/>
  <c r="F38" i="1"/>
  <c r="G38" i="1"/>
  <c r="G41" i="1" s="1"/>
  <c r="H38" i="1"/>
  <c r="I38" i="1"/>
  <c r="J38" i="1"/>
  <c r="J41" i="1" s="1"/>
  <c r="K38" i="1"/>
  <c r="L38" i="1"/>
  <c r="M38" i="1"/>
  <c r="N38" i="1"/>
  <c r="N41" i="1" s="1"/>
  <c r="O38" i="1"/>
  <c r="O41" i="1" s="1"/>
  <c r="P38" i="1"/>
  <c r="Q38" i="1"/>
  <c r="R38" i="1"/>
  <c r="S38" i="1"/>
  <c r="S41" i="1" s="1"/>
  <c r="T38" i="1"/>
  <c r="U38" i="1"/>
  <c r="V38" i="1"/>
  <c r="W38" i="1"/>
  <c r="W41" i="1" s="1"/>
  <c r="X38" i="1"/>
  <c r="Y38" i="1"/>
  <c r="Z38" i="1"/>
  <c r="Z41" i="1" s="1"/>
  <c r="AA38" i="1"/>
  <c r="AB38" i="1"/>
  <c r="AC38" i="1"/>
  <c r="AD38" i="1"/>
  <c r="AD41" i="1" s="1"/>
  <c r="AE38" i="1"/>
  <c r="AE41" i="1" s="1"/>
  <c r="AF38" i="1"/>
  <c r="AG38" i="1"/>
  <c r="AH38" i="1"/>
  <c r="AI38" i="1"/>
  <c r="AI41" i="1" s="1"/>
  <c r="AJ38" i="1"/>
  <c r="AK38" i="1"/>
  <c r="AL38" i="1"/>
  <c r="AM38" i="1"/>
  <c r="AM41" i="1" s="1"/>
  <c r="AN38" i="1"/>
  <c r="AO38" i="1"/>
  <c r="AP38" i="1"/>
  <c r="AP41" i="1" s="1"/>
  <c r="AQ38" i="1"/>
  <c r="C38" i="1"/>
  <c r="C41" i="1" s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C37" i="1"/>
  <c r="AQ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B34" i="1"/>
  <c r="AI45" i="1"/>
  <c r="S45" i="1"/>
  <c r="AQ46" i="1"/>
  <c r="AN45" i="1"/>
  <c r="AM46" i="1"/>
  <c r="AJ46" i="1"/>
  <c r="AI46" i="1"/>
  <c r="AF46" i="1"/>
  <c r="AE46" i="1"/>
  <c r="AB46" i="1"/>
  <c r="AA46" i="1"/>
  <c r="X45" i="1"/>
  <c r="W46" i="1"/>
  <c r="T46" i="1"/>
  <c r="S46" i="1"/>
  <c r="P45" i="1"/>
  <c r="O46" i="1"/>
  <c r="L46" i="1"/>
  <c r="K46" i="1"/>
  <c r="H45" i="1"/>
  <c r="G46" i="1"/>
  <c r="D46" i="1"/>
  <c r="C46" i="1"/>
  <c r="B46" i="1"/>
  <c r="AP42" i="1"/>
  <c r="AL42" i="1"/>
  <c r="Z42" i="1"/>
  <c r="V42" i="1"/>
  <c r="J42" i="1"/>
  <c r="F42" i="1"/>
  <c r="AQ41" i="1"/>
  <c r="AA41" i="1"/>
  <c r="K41" i="1"/>
  <c r="AO42" i="1"/>
  <c r="AN42" i="1"/>
  <c r="AK42" i="1"/>
  <c r="AJ42" i="1"/>
  <c r="AI42" i="1"/>
  <c r="AF42" i="1"/>
  <c r="AC42" i="1"/>
  <c r="AB42" i="1"/>
  <c r="Y42" i="1"/>
  <c r="X42" i="1"/>
  <c r="U42" i="1"/>
  <c r="T42" i="1"/>
  <c r="S42" i="1"/>
  <c r="P42" i="1"/>
  <c r="M42" i="1"/>
  <c r="L42" i="1"/>
  <c r="I42" i="1"/>
  <c r="H42" i="1"/>
  <c r="E42" i="1"/>
  <c r="D42" i="1"/>
  <c r="AO41" i="1"/>
  <c r="AN41" i="1"/>
  <c r="AL41" i="1"/>
  <c r="AK41" i="1"/>
  <c r="AJ41" i="1"/>
  <c r="AH41" i="1"/>
  <c r="AG41" i="1"/>
  <c r="AF41" i="1"/>
  <c r="AC41" i="1"/>
  <c r="AB41" i="1"/>
  <c r="Y41" i="1"/>
  <c r="X41" i="1"/>
  <c r="V41" i="1"/>
  <c r="U41" i="1"/>
  <c r="T41" i="1"/>
  <c r="R41" i="1"/>
  <c r="Q41" i="1"/>
  <c r="P41" i="1"/>
  <c r="M41" i="1"/>
  <c r="L41" i="1"/>
  <c r="I41" i="1"/>
  <c r="H41" i="1"/>
  <c r="F41" i="1"/>
  <c r="E41" i="1"/>
  <c r="D41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B33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C32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C31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B30" i="1"/>
  <c r="E29" i="1"/>
  <c r="I29" i="1"/>
  <c r="M29" i="1"/>
  <c r="Q29" i="1"/>
  <c r="U29" i="1"/>
  <c r="Y29" i="1"/>
  <c r="AC29" i="1"/>
  <c r="AG29" i="1"/>
  <c r="AK29" i="1"/>
  <c r="AO29" i="1"/>
  <c r="D26" i="1"/>
  <c r="D29" i="1" s="1"/>
  <c r="E26" i="1"/>
  <c r="F26" i="1"/>
  <c r="F29" i="1" s="1"/>
  <c r="G26" i="1"/>
  <c r="G29" i="1" s="1"/>
  <c r="H26" i="1"/>
  <c r="H29" i="1" s="1"/>
  <c r="I26" i="1"/>
  <c r="J26" i="1"/>
  <c r="J29" i="1" s="1"/>
  <c r="K26" i="1"/>
  <c r="K29" i="1" s="1"/>
  <c r="L26" i="1"/>
  <c r="L29" i="1" s="1"/>
  <c r="M26" i="1"/>
  <c r="N26" i="1"/>
  <c r="N29" i="1" s="1"/>
  <c r="O26" i="1"/>
  <c r="O29" i="1" s="1"/>
  <c r="P26" i="1"/>
  <c r="P29" i="1" s="1"/>
  <c r="Q26" i="1"/>
  <c r="R26" i="1"/>
  <c r="R29" i="1" s="1"/>
  <c r="S26" i="1"/>
  <c r="S29" i="1" s="1"/>
  <c r="T26" i="1"/>
  <c r="T29" i="1" s="1"/>
  <c r="U26" i="1"/>
  <c r="V26" i="1"/>
  <c r="V29" i="1" s="1"/>
  <c r="W26" i="1"/>
  <c r="W29" i="1" s="1"/>
  <c r="X26" i="1"/>
  <c r="X29" i="1" s="1"/>
  <c r="Y26" i="1"/>
  <c r="Z26" i="1"/>
  <c r="Z29" i="1" s="1"/>
  <c r="AA26" i="1"/>
  <c r="AA29" i="1" s="1"/>
  <c r="AB26" i="1"/>
  <c r="AB29" i="1" s="1"/>
  <c r="AC26" i="1"/>
  <c r="AD26" i="1"/>
  <c r="AD29" i="1" s="1"/>
  <c r="AE26" i="1"/>
  <c r="AE29" i="1" s="1"/>
  <c r="AF26" i="1"/>
  <c r="AF29" i="1" s="1"/>
  <c r="AG26" i="1"/>
  <c r="AH26" i="1"/>
  <c r="AH29" i="1" s="1"/>
  <c r="AI26" i="1"/>
  <c r="AI29" i="1" s="1"/>
  <c r="AJ26" i="1"/>
  <c r="AJ29" i="1" s="1"/>
  <c r="AK26" i="1"/>
  <c r="AL26" i="1"/>
  <c r="AL29" i="1" s="1"/>
  <c r="AM26" i="1"/>
  <c r="AM29" i="1" s="1"/>
  <c r="AN26" i="1"/>
  <c r="AN29" i="1" s="1"/>
  <c r="AO26" i="1"/>
  <c r="AP26" i="1"/>
  <c r="AP29" i="1" s="1"/>
  <c r="AQ26" i="1"/>
  <c r="AQ29" i="1" s="1"/>
  <c r="C26" i="1"/>
  <c r="C29" i="1" s="1"/>
  <c r="S27" i="1"/>
  <c r="AI27" i="1"/>
  <c r="J28" i="1"/>
  <c r="Z28" i="1"/>
  <c r="AP28" i="1"/>
  <c r="D25" i="1"/>
  <c r="D28" i="1" s="1"/>
  <c r="E25" i="1"/>
  <c r="E28" i="1" s="1"/>
  <c r="F25" i="1"/>
  <c r="F28" i="1" s="1"/>
  <c r="G25" i="1"/>
  <c r="G28" i="1" s="1"/>
  <c r="H25" i="1"/>
  <c r="H28" i="1" s="1"/>
  <c r="I25" i="1"/>
  <c r="I28" i="1" s="1"/>
  <c r="J25" i="1"/>
  <c r="K25" i="1"/>
  <c r="K28" i="1" s="1"/>
  <c r="L25" i="1"/>
  <c r="L28" i="1" s="1"/>
  <c r="M25" i="1"/>
  <c r="M28" i="1" s="1"/>
  <c r="N25" i="1"/>
  <c r="N28" i="1" s="1"/>
  <c r="O25" i="1"/>
  <c r="O28" i="1" s="1"/>
  <c r="P25" i="1"/>
  <c r="P28" i="1" s="1"/>
  <c r="Q25" i="1"/>
  <c r="Q28" i="1" s="1"/>
  <c r="R25" i="1"/>
  <c r="R28" i="1" s="1"/>
  <c r="S25" i="1"/>
  <c r="S28" i="1" s="1"/>
  <c r="T25" i="1"/>
  <c r="T28" i="1" s="1"/>
  <c r="U25" i="1"/>
  <c r="U28" i="1" s="1"/>
  <c r="V25" i="1"/>
  <c r="V28" i="1" s="1"/>
  <c r="W25" i="1"/>
  <c r="W28" i="1" s="1"/>
  <c r="X25" i="1"/>
  <c r="X28" i="1" s="1"/>
  <c r="Y25" i="1"/>
  <c r="Y28" i="1" s="1"/>
  <c r="Z25" i="1"/>
  <c r="AA25" i="1"/>
  <c r="AA28" i="1" s="1"/>
  <c r="AB25" i="1"/>
  <c r="AB28" i="1" s="1"/>
  <c r="AC25" i="1"/>
  <c r="AC28" i="1" s="1"/>
  <c r="AD25" i="1"/>
  <c r="AD28" i="1" s="1"/>
  <c r="AE25" i="1"/>
  <c r="AE28" i="1" s="1"/>
  <c r="AF25" i="1"/>
  <c r="AF28" i="1" s="1"/>
  <c r="AG25" i="1"/>
  <c r="AG28" i="1" s="1"/>
  <c r="AH25" i="1"/>
  <c r="AH28" i="1" s="1"/>
  <c r="AI25" i="1"/>
  <c r="AI28" i="1" s="1"/>
  <c r="AJ25" i="1"/>
  <c r="AJ28" i="1" s="1"/>
  <c r="AK25" i="1"/>
  <c r="AK28" i="1" s="1"/>
  <c r="AL25" i="1"/>
  <c r="AL28" i="1" s="1"/>
  <c r="AM25" i="1"/>
  <c r="AM28" i="1" s="1"/>
  <c r="AN25" i="1"/>
  <c r="AN28" i="1" s="1"/>
  <c r="AO25" i="1"/>
  <c r="AO28" i="1" s="1"/>
  <c r="AP25" i="1"/>
  <c r="AQ25" i="1"/>
  <c r="AQ28" i="1" s="1"/>
  <c r="C25" i="1"/>
  <c r="C28" i="1" s="1"/>
  <c r="D24" i="1"/>
  <c r="D27" i="1" s="1"/>
  <c r="E24" i="1"/>
  <c r="E27" i="1" s="1"/>
  <c r="F24" i="1"/>
  <c r="F27" i="1" s="1"/>
  <c r="G24" i="1"/>
  <c r="G27" i="1" s="1"/>
  <c r="H24" i="1"/>
  <c r="H27" i="1" s="1"/>
  <c r="I24" i="1"/>
  <c r="I27" i="1" s="1"/>
  <c r="J24" i="1"/>
  <c r="J27" i="1" s="1"/>
  <c r="K24" i="1"/>
  <c r="K27" i="1" s="1"/>
  <c r="L24" i="1"/>
  <c r="L27" i="1" s="1"/>
  <c r="M24" i="1"/>
  <c r="M27" i="1" s="1"/>
  <c r="N24" i="1"/>
  <c r="N27" i="1" s="1"/>
  <c r="O24" i="1"/>
  <c r="O27" i="1" s="1"/>
  <c r="P24" i="1"/>
  <c r="P27" i="1" s="1"/>
  <c r="Q24" i="1"/>
  <c r="Q27" i="1" s="1"/>
  <c r="R24" i="1"/>
  <c r="R27" i="1" s="1"/>
  <c r="S24" i="1"/>
  <c r="T24" i="1"/>
  <c r="T27" i="1" s="1"/>
  <c r="U24" i="1"/>
  <c r="U27" i="1" s="1"/>
  <c r="V24" i="1"/>
  <c r="V27" i="1" s="1"/>
  <c r="W24" i="1"/>
  <c r="W27" i="1" s="1"/>
  <c r="X24" i="1"/>
  <c r="X27" i="1" s="1"/>
  <c r="Y24" i="1"/>
  <c r="Y27" i="1" s="1"/>
  <c r="Z24" i="1"/>
  <c r="Z27" i="1" s="1"/>
  <c r="AA24" i="1"/>
  <c r="AA27" i="1" s="1"/>
  <c r="AB24" i="1"/>
  <c r="AB27" i="1" s="1"/>
  <c r="AC24" i="1"/>
  <c r="AC27" i="1" s="1"/>
  <c r="AD24" i="1"/>
  <c r="AD27" i="1" s="1"/>
  <c r="AE24" i="1"/>
  <c r="AE27" i="1" s="1"/>
  <c r="AF24" i="1"/>
  <c r="AF27" i="1" s="1"/>
  <c r="AG24" i="1"/>
  <c r="AG27" i="1" s="1"/>
  <c r="AH24" i="1"/>
  <c r="AH27" i="1" s="1"/>
  <c r="AI24" i="1"/>
  <c r="AJ24" i="1"/>
  <c r="AJ27" i="1" s="1"/>
  <c r="AK24" i="1"/>
  <c r="AK27" i="1" s="1"/>
  <c r="AL24" i="1"/>
  <c r="AL27" i="1" s="1"/>
  <c r="AM24" i="1"/>
  <c r="AM27" i="1" s="1"/>
  <c r="AN24" i="1"/>
  <c r="AN27" i="1" s="1"/>
  <c r="AO24" i="1"/>
  <c r="AO27" i="1" s="1"/>
  <c r="AP24" i="1"/>
  <c r="AP27" i="1" s="1"/>
  <c r="AQ24" i="1"/>
  <c r="AQ27" i="1" s="1"/>
  <c r="C24" i="1"/>
  <c r="C27" i="1" s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L58" i="1" l="1"/>
  <c r="Z58" i="1"/>
  <c r="R58" i="1"/>
  <c r="F58" i="1"/>
  <c r="F59" i="1"/>
  <c r="R59" i="1"/>
  <c r="Z59" i="1"/>
  <c r="AL59" i="1"/>
  <c r="J58" i="1"/>
  <c r="N58" i="1"/>
  <c r="V58" i="1"/>
  <c r="AD58" i="1"/>
  <c r="AH58" i="1"/>
  <c r="AP58" i="1"/>
  <c r="C59" i="1"/>
  <c r="G59" i="1"/>
  <c r="K59" i="1"/>
  <c r="O59" i="1"/>
  <c r="S59" i="1"/>
  <c r="W59" i="1"/>
  <c r="AA59" i="1"/>
  <c r="AE59" i="1"/>
  <c r="AI59" i="1"/>
  <c r="AM59" i="1"/>
  <c r="AQ59" i="1"/>
  <c r="D59" i="1"/>
  <c r="H59" i="1"/>
  <c r="L59" i="1"/>
  <c r="P59" i="1"/>
  <c r="T59" i="1"/>
  <c r="X59" i="1"/>
  <c r="AB59" i="1"/>
  <c r="AF59" i="1"/>
  <c r="AJ59" i="1"/>
  <c r="AN59" i="1"/>
  <c r="AP45" i="1"/>
  <c r="AL45" i="1"/>
  <c r="AH45" i="1"/>
  <c r="AD45" i="1"/>
  <c r="Z45" i="1"/>
  <c r="V45" i="1"/>
  <c r="R45" i="1"/>
  <c r="N45" i="1"/>
  <c r="J45" i="1"/>
  <c r="F45" i="1"/>
  <c r="H46" i="1"/>
  <c r="P46" i="1"/>
  <c r="X46" i="1"/>
  <c r="AN46" i="1"/>
  <c r="D45" i="1"/>
  <c r="L45" i="1"/>
  <c r="T45" i="1"/>
  <c r="AB45" i="1"/>
  <c r="AF45" i="1"/>
  <c r="AJ45" i="1"/>
  <c r="E46" i="1"/>
  <c r="I46" i="1"/>
  <c r="M46" i="1"/>
  <c r="Q46" i="1"/>
  <c r="U46" i="1"/>
  <c r="Y46" i="1"/>
  <c r="AC46" i="1"/>
  <c r="AG46" i="1"/>
  <c r="AK46" i="1"/>
  <c r="AO46" i="1"/>
  <c r="F46" i="1"/>
  <c r="J46" i="1"/>
  <c r="N46" i="1"/>
  <c r="R46" i="1"/>
  <c r="V46" i="1"/>
  <c r="Z46" i="1"/>
  <c r="AD46" i="1"/>
  <c r="AH46" i="1"/>
  <c r="AL46" i="1"/>
  <c r="AP46" i="1"/>
</calcChain>
</file>

<file path=xl/sharedStrings.xml><?xml version="1.0" encoding="utf-8"?>
<sst xmlns="http://schemas.openxmlformats.org/spreadsheetml/2006/main" count="48" uniqueCount="48">
  <si>
    <t>Early Warning Trigger</t>
  </si>
  <si>
    <t>Surplus drops by more half LY</t>
  </si>
  <si>
    <t>Deposit drops by more than</t>
  </si>
  <si>
    <t>Loan increases by more than</t>
  </si>
  <si>
    <t>Surplus drops below</t>
  </si>
  <si>
    <t>Deposit 1</t>
  </si>
  <si>
    <t>Deposit 2</t>
  </si>
  <si>
    <t>Deposit 3</t>
  </si>
  <si>
    <t>Loan 1</t>
  </si>
  <si>
    <t>Loan 2</t>
  </si>
  <si>
    <t>Loan 3</t>
  </si>
  <si>
    <t>Loan increases by 50% of the LY</t>
  </si>
  <si>
    <t>DEPOSITS ($'m)</t>
  </si>
  <si>
    <t>LOANS ($'m)</t>
  </si>
  <si>
    <t>Does Entity 1  Loan increases by more than 50% of LY?</t>
  </si>
  <si>
    <t>Entity 1  Surplus</t>
  </si>
  <si>
    <t xml:space="preserve">Does Entity 1  Surplus drops by more half LY? </t>
  </si>
  <si>
    <t>Does Entity 1 Surplus drop below MAT?</t>
  </si>
  <si>
    <t>Stressed Surplus Entity 1</t>
  </si>
  <si>
    <t>Entity 1 deposit Variation</t>
  </si>
  <si>
    <t xml:space="preserve">Does Entity 1  Loan  increases by more than 5%? </t>
  </si>
  <si>
    <t xml:space="preserve">Does Entity 1  Deposit drop by more than 3%?  </t>
  </si>
  <si>
    <t>Entity 1  Loan DoD Variation</t>
  </si>
  <si>
    <t>Entity 1 deposit Variation fron LY</t>
  </si>
  <si>
    <t>Entity 1 Surplus Variation from LY</t>
  </si>
  <si>
    <t>Entity 2 deposit Variation</t>
  </si>
  <si>
    <t>Entity 2  Loan DoD Variation</t>
  </si>
  <si>
    <t>Entity 2 deposit Variation fron LY</t>
  </si>
  <si>
    <t xml:space="preserve">Does Entity 2  Deposit drop by more than 3%?  </t>
  </si>
  <si>
    <t xml:space="preserve">Does Entity 2  Loan  increases by more than 5%? </t>
  </si>
  <si>
    <t>Does Entity 2  Loan increases by more than 50% of LY?</t>
  </si>
  <si>
    <t>Entity 2  Surplus</t>
  </si>
  <si>
    <t>Entity 2 Surplus Variation from LY</t>
  </si>
  <si>
    <t xml:space="preserve">Does Entity 2  Surplus drops by more half LY? </t>
  </si>
  <si>
    <t>Does Entity 2 Surplus drop below MAT?</t>
  </si>
  <si>
    <t>Stressed Surplus Entity 2</t>
  </si>
  <si>
    <t>Entity 3 deposit Variation</t>
  </si>
  <si>
    <t>Entity 3  Loan DoD Variation</t>
  </si>
  <si>
    <t>Entity 3 deposit Variation fron LY</t>
  </si>
  <si>
    <t xml:space="preserve">Does Entity 3  Deposit drop by more than 3%?  </t>
  </si>
  <si>
    <t xml:space="preserve">Does Entity 3  Loan  increases by more than 5%? </t>
  </si>
  <si>
    <t>Does Entity 3  Loan increases by more than 50% of LY?</t>
  </si>
  <si>
    <t>Entity 3  Surplus</t>
  </si>
  <si>
    <t>Entity 3 Surplus Variation from LY</t>
  </si>
  <si>
    <t xml:space="preserve">Does Entity 3  Surplus drops by more half LY? </t>
  </si>
  <si>
    <t>Does Entity 3 Surplus drop below MAT?</t>
  </si>
  <si>
    <t>Stressed Surplus Entity 3</t>
  </si>
  <si>
    <t>Management Action Trigger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</si>
</sst>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2" fillId="0" borderId="0" xfId="0" applyFont="1"/>
    <xf numFmtId="164" fontId="0" fillId="0" borderId="0" xfId="1" applyNumberFormat="1" applyFont="1"/>
    <xf numFmtId="9" fontId="0" fillId="0" borderId="0" xfId="2" applyFont="1"/>
    <xf numFmtId="14" fontId="2" fillId="0" borderId="0" xfId="0" applyNumberFormat="1" applyFont="1"/>
    <xf numFmtId="164" fontId="0" fillId="0" borderId="0" xfId="0" applyNumberFormat="1"/>
    <xf numFmtId="1" fontId="0" fillId="0" borderId="0" xfId="0" applyNumberFormat="1"/>
    <xf numFmtId="9" fontId="0" fillId="0" borderId="0" xfId="2" applyNumberFormat="1" applyFont="1"/>
    <xf numFmtId="0" fontId="0" fillId="0" borderId="0" xfId="1" applyNumberFormat="1" applyFont="1"/>
    <xf numFmtId="0" fontId="2" fillId="0" borderId="1" xfId="0" applyFont="1" applyBorder="1"/>
    <xf numFmtId="14" fontId="2" fillId="0" borderId="1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00AD0-6AE5-4043-8806-4D8047E6C1EB}">
  <dimension ref="A3:AW60"/>
  <sheetViews>
    <sheetView tabSelected="1" zoomScale="70" zoomScaleNormal="70" workbookViewId="0">
      <pane xSplit="1" topLeftCell="B1" activePane="topRight" state="frozen"/>
      <selection activeCell="A31" sqref="A31"/>
      <selection pane="topRight" activeCell="E7" sqref="E7"/>
    </sheetView>
  </sheetViews>
  <sheetFormatPr defaultRowHeight="15" x14ac:dyDescent="0.25"/>
  <cols>
    <col min="1" max="1" width="53.5703125" bestFit="1" customWidth="1"/>
    <col min="2" max="2" width="14.140625" customWidth="1"/>
    <col min="3" max="7" width="14.42578125" bestFit="1" customWidth="1"/>
    <col min="8" max="8" width="14" bestFit="1" customWidth="1"/>
    <col min="9" max="9" width="13.5703125" bestFit="1" customWidth="1"/>
    <col min="10" max="15" width="14" bestFit="1" customWidth="1"/>
    <col min="16" max="16" width="14.42578125" bestFit="1" customWidth="1"/>
    <col min="17" max="17" width="14" bestFit="1" customWidth="1"/>
    <col min="18" max="22" width="14.42578125" bestFit="1" customWidth="1"/>
    <col min="23" max="23" width="14" bestFit="1" customWidth="1"/>
    <col min="24" max="24" width="14.42578125" bestFit="1" customWidth="1"/>
    <col min="25" max="30" width="14.85546875" bestFit="1" customWidth="1"/>
    <col min="31" max="31" width="14.42578125" bestFit="1" customWidth="1"/>
    <col min="32" max="32" width="14" bestFit="1" customWidth="1"/>
    <col min="33" max="38" width="14.42578125" bestFit="1" customWidth="1"/>
    <col min="39" max="43" width="14.85546875" bestFit="1" customWidth="1"/>
    <col min="44" max="44" width="12.42578125" bestFit="1" customWidth="1"/>
    <col min="45" max="45" width="10.7109375" bestFit="1" customWidth="1"/>
    <col min="49" max="49" width="10.7109375" bestFit="1" customWidth="1"/>
  </cols>
  <sheetData>
    <row r="3" spans="1:49" x14ac:dyDescent="0.25">
      <c r="A3" s="2" t="s">
        <v>12</v>
      </c>
      <c r="B3" s="5">
        <v>44926</v>
      </c>
      <c r="C3" s="5">
        <v>44929</v>
      </c>
      <c r="D3" s="5">
        <v>44930</v>
      </c>
      <c r="E3" s="5">
        <v>44931</v>
      </c>
      <c r="F3" s="5">
        <v>44932</v>
      </c>
      <c r="G3" s="5">
        <v>44935</v>
      </c>
      <c r="H3" s="5">
        <v>44936</v>
      </c>
      <c r="I3" s="5">
        <v>44937</v>
      </c>
      <c r="J3" s="5">
        <v>44938</v>
      </c>
      <c r="K3" s="5">
        <v>44939</v>
      </c>
      <c r="L3" s="5">
        <v>44942</v>
      </c>
      <c r="M3" s="5">
        <v>44943</v>
      </c>
      <c r="N3" s="5">
        <v>44944</v>
      </c>
      <c r="O3" s="5">
        <v>44945</v>
      </c>
      <c r="P3" s="5">
        <v>44946</v>
      </c>
      <c r="Q3" s="5">
        <v>44949</v>
      </c>
      <c r="R3" s="5">
        <v>44950</v>
      </c>
      <c r="S3" s="5">
        <v>44951</v>
      </c>
      <c r="T3" s="5">
        <v>44952</v>
      </c>
      <c r="U3" s="5">
        <v>44953</v>
      </c>
      <c r="V3" s="5">
        <v>44956</v>
      </c>
      <c r="W3" s="5">
        <v>44957</v>
      </c>
      <c r="X3" s="5">
        <v>44958</v>
      </c>
      <c r="Y3" s="5">
        <v>44959</v>
      </c>
      <c r="Z3" s="5">
        <v>44960</v>
      </c>
      <c r="AA3" s="5">
        <v>44963</v>
      </c>
      <c r="AB3" s="5">
        <v>44964</v>
      </c>
      <c r="AC3" s="5">
        <v>44965</v>
      </c>
      <c r="AD3" s="5">
        <v>44966</v>
      </c>
      <c r="AE3" s="5">
        <v>44967</v>
      </c>
      <c r="AF3" s="5">
        <v>44970</v>
      </c>
      <c r="AG3" s="5">
        <v>44971</v>
      </c>
      <c r="AH3" s="5">
        <v>44972</v>
      </c>
      <c r="AI3" s="5">
        <v>44973</v>
      </c>
      <c r="AJ3" s="5">
        <v>44974</v>
      </c>
      <c r="AK3" s="5">
        <v>44977</v>
      </c>
      <c r="AL3" s="5">
        <v>44978</v>
      </c>
      <c r="AM3" s="5">
        <v>44979</v>
      </c>
      <c r="AN3" s="5">
        <v>44980</v>
      </c>
      <c r="AO3" s="5">
        <v>44981</v>
      </c>
      <c r="AP3" s="5">
        <v>44984</v>
      </c>
      <c r="AQ3" s="5">
        <v>44985</v>
      </c>
      <c r="AR3" s="1"/>
      <c r="AS3" s="1"/>
      <c r="AT3" s="1"/>
      <c r="AU3" s="1"/>
      <c r="AV3" s="1"/>
      <c r="AW3" s="1"/>
    </row>
    <row r="4" spans="1:49" x14ac:dyDescent="0.25">
      <c r="A4" t="s">
        <v>5</v>
      </c>
      <c r="B4" s="3">
        <v>100</v>
      </c>
      <c r="C4" s="3">
        <v>101</v>
      </c>
      <c r="D4" s="3">
        <v>101</v>
      </c>
      <c r="E4" s="3">
        <v>106.05000000000001</v>
      </c>
      <c r="F4" s="3">
        <v>109.23150000000001</v>
      </c>
      <c r="G4" s="3">
        <v>107.04687000000001</v>
      </c>
      <c r="H4" s="3">
        <v>110.25827610000002</v>
      </c>
      <c r="I4" s="3">
        <v>111.36085886100003</v>
      </c>
      <c r="J4" s="3">
        <v>110.24725027239002</v>
      </c>
      <c r="K4" s="3">
        <v>109.14477776966612</v>
      </c>
      <c r="L4" s="3">
        <v>106.96188221427279</v>
      </c>
      <c r="M4" s="3">
        <v>103.7530257478446</v>
      </c>
      <c r="N4" s="3">
        <v>100.64043497540926</v>
      </c>
      <c r="O4" s="3">
        <v>99.634030625655171</v>
      </c>
      <c r="P4" s="3">
        <v>94.652329094372405</v>
      </c>
      <c r="Q4" s="3">
        <v>94.652329094372405</v>
      </c>
      <c r="R4" s="3">
        <v>95.598852385316135</v>
      </c>
      <c r="S4" s="3">
        <v>95.598852385316135</v>
      </c>
      <c r="T4" s="3">
        <v>96.5548409091693</v>
      </c>
      <c r="U4" s="3">
        <v>94.623744090985909</v>
      </c>
      <c r="V4" s="3">
        <v>97.462456413715486</v>
      </c>
      <c r="W4" s="3">
        <v>95.513207285441169</v>
      </c>
      <c r="X4" s="3">
        <v>92.647811066877935</v>
      </c>
      <c r="Y4" s="3">
        <v>88.015420513534039</v>
      </c>
      <c r="Z4" s="3">
        <v>92.416191539210743</v>
      </c>
      <c r="AA4" s="3">
        <v>93.340353454602848</v>
      </c>
      <c r="AB4" s="3">
        <v>93.340353454602848</v>
      </c>
      <c r="AC4" s="3">
        <v>92.406949920056817</v>
      </c>
      <c r="AD4" s="3">
        <v>92.406949920056817</v>
      </c>
      <c r="AE4" s="3">
        <v>93.331019419257387</v>
      </c>
      <c r="AF4" s="3">
        <v>94.264329613449959</v>
      </c>
      <c r="AG4" s="3">
        <v>92.379043021180962</v>
      </c>
      <c r="AH4" s="3">
        <v>90.531462160757343</v>
      </c>
      <c r="AI4" s="3">
        <v>90.531462160757343</v>
      </c>
      <c r="AJ4" s="3">
        <v>92.342091403972489</v>
      </c>
      <c r="AK4" s="3">
        <v>95.112354146091661</v>
      </c>
      <c r="AL4" s="3">
        <v>93.210107063169829</v>
      </c>
      <c r="AM4" s="3">
        <v>90.413803851274736</v>
      </c>
      <c r="AN4" s="3">
        <v>92.222079928300232</v>
      </c>
      <c r="AO4" s="3">
        <v>94.988742326149236</v>
      </c>
      <c r="AP4" s="3">
        <v>97.83840459593371</v>
      </c>
      <c r="AQ4" s="3">
        <v>92.946484366137014</v>
      </c>
    </row>
    <row r="5" spans="1:49" x14ac:dyDescent="0.25">
      <c r="A5" t="s">
        <v>6</v>
      </c>
      <c r="B5" s="3">
        <v>115</v>
      </c>
      <c r="C5" s="3">
        <v>113.85</v>
      </c>
      <c r="D5" s="3">
        <v>111.57299999999999</v>
      </c>
      <c r="E5" s="3">
        <v>117.15165</v>
      </c>
      <c r="F5" s="3">
        <v>114.808617</v>
      </c>
      <c r="G5" s="3">
        <v>115.95670317</v>
      </c>
      <c r="H5" s="3">
        <v>117.1162702017</v>
      </c>
      <c r="I5" s="3">
        <v>115.945107499683</v>
      </c>
      <c r="J5" s="3">
        <v>120.58291179967033</v>
      </c>
      <c r="K5" s="3">
        <v>116.96542444568021</v>
      </c>
      <c r="L5" s="3">
        <v>114.62611595676661</v>
      </c>
      <c r="M5" s="3">
        <v>115.77237711633428</v>
      </c>
      <c r="N5" s="3">
        <v>112.29920580284426</v>
      </c>
      <c r="O5" s="3">
        <v>110.05322168678737</v>
      </c>
      <c r="P5" s="3">
        <v>107.85215725305162</v>
      </c>
      <c r="Q5" s="3">
        <v>111.08772197064317</v>
      </c>
      <c r="R5" s="3">
        <v>106.64421309181745</v>
      </c>
      <c r="S5" s="3">
        <v>108.7770973536538</v>
      </c>
      <c r="T5" s="3">
        <v>108.7770973536538</v>
      </c>
      <c r="U5" s="3">
        <v>107.68932638011727</v>
      </c>
      <c r="V5" s="3">
        <v>110.92000617152078</v>
      </c>
      <c r="W5" s="3">
        <v>112.029206233236</v>
      </c>
      <c r="X5" s="3">
        <v>108.66833004623891</v>
      </c>
      <c r="Y5" s="3">
        <v>105.40828014485173</v>
      </c>
      <c r="Z5" s="3">
        <v>104.35419734340321</v>
      </c>
      <c r="AA5" s="3">
        <v>107.48482326370531</v>
      </c>
      <c r="AB5" s="3">
        <v>106.40997503106826</v>
      </c>
      <c r="AC5" s="3">
        <v>106.40997503106826</v>
      </c>
      <c r="AD5" s="3">
        <v>108.53817453168962</v>
      </c>
      <c r="AE5" s="3">
        <v>105.28202929573892</v>
      </c>
      <c r="AF5" s="3">
        <v>105.28202929573892</v>
      </c>
      <c r="AG5" s="3">
        <v>102.12356841686675</v>
      </c>
      <c r="AH5" s="3">
        <v>104.16603978520408</v>
      </c>
      <c r="AI5" s="3">
        <v>101.04105859164795</v>
      </c>
      <c r="AJ5" s="3">
        <v>101.04105859164795</v>
      </c>
      <c r="AK5" s="3">
        <v>104.07229034939739</v>
      </c>
      <c r="AL5" s="3">
        <v>104.07229034939739</v>
      </c>
      <c r="AM5" s="3">
        <v>107.19445905987932</v>
      </c>
      <c r="AN5" s="3">
        <v>107.19445905987932</v>
      </c>
      <c r="AO5" s="3">
        <v>105.05056987868173</v>
      </c>
      <c r="AP5" s="3">
        <v>102.94955848110808</v>
      </c>
      <c r="AQ5" s="3">
        <v>98.831576141863763</v>
      </c>
    </row>
    <row r="6" spans="1:49" x14ac:dyDescent="0.25">
      <c r="A6" t="s">
        <v>7</v>
      </c>
      <c r="B6" s="3">
        <v>250</v>
      </c>
      <c r="C6" s="3">
        <v>252.5</v>
      </c>
      <c r="D6" s="3">
        <v>244.92499999999998</v>
      </c>
      <c r="E6" s="3">
        <v>247.37424999999999</v>
      </c>
      <c r="F6" s="3">
        <v>252.32173499999999</v>
      </c>
      <c r="G6" s="3">
        <v>254.84495235</v>
      </c>
      <c r="H6" s="3">
        <v>247.19960377949999</v>
      </c>
      <c r="I6" s="3">
        <v>247.19960377949999</v>
      </c>
      <c r="J6" s="3">
        <v>247.19960377949999</v>
      </c>
      <c r="K6" s="3">
        <v>242.25561170390998</v>
      </c>
      <c r="L6" s="3">
        <v>249.52328005502727</v>
      </c>
      <c r="M6" s="3">
        <v>249.52328005502727</v>
      </c>
      <c r="N6" s="3">
        <v>249.52328005502727</v>
      </c>
      <c r="O6" s="3">
        <v>249.52328005502727</v>
      </c>
      <c r="P6" s="3">
        <v>239.54234885282617</v>
      </c>
      <c r="Q6" s="3">
        <v>246.72861931841095</v>
      </c>
      <c r="R6" s="3">
        <v>254.13047789796329</v>
      </c>
      <c r="S6" s="3">
        <v>256.67178267694294</v>
      </c>
      <c r="T6" s="3">
        <v>264.37193615725124</v>
      </c>
      <c r="U6" s="3">
        <v>261.72821679567875</v>
      </c>
      <c r="V6" s="3">
        <v>256.49365245976514</v>
      </c>
      <c r="W6" s="3">
        <v>251.36377941056983</v>
      </c>
      <c r="X6" s="3">
        <v>253.87741720467554</v>
      </c>
      <c r="Y6" s="3">
        <v>261.49373972081582</v>
      </c>
      <c r="Z6" s="3">
        <v>258.87880232360766</v>
      </c>
      <c r="AA6" s="3">
        <v>264.05637837007981</v>
      </c>
      <c r="AB6" s="3">
        <v>274.61863350488301</v>
      </c>
      <c r="AC6" s="3">
        <v>277.36481983993184</v>
      </c>
      <c r="AD6" s="3">
        <v>291.23306083192847</v>
      </c>
      <c r="AE6" s="3">
        <v>282.49606900697063</v>
      </c>
      <c r="AF6" s="3">
        <v>279.67110831690093</v>
      </c>
      <c r="AG6" s="3">
        <v>271.28097506739391</v>
      </c>
      <c r="AH6" s="3">
        <v>279.41940431941572</v>
      </c>
      <c r="AI6" s="3">
        <v>271.03682218983323</v>
      </c>
      <c r="AJ6" s="3">
        <v>276.4575586336299</v>
      </c>
      <c r="AK6" s="3">
        <v>273.69298304729358</v>
      </c>
      <c r="AL6" s="3">
        <v>281.90377253871242</v>
      </c>
      <c r="AM6" s="3">
        <v>290.3608857148738</v>
      </c>
      <c r="AN6" s="3">
        <v>287.45727685772505</v>
      </c>
      <c r="AO6" s="3">
        <v>290.3318496263023</v>
      </c>
      <c r="AP6" s="3">
        <v>299.04180511509139</v>
      </c>
      <c r="AQ6" s="3">
        <v>299.04180511509139</v>
      </c>
    </row>
    <row r="7" spans="1:49" x14ac:dyDescent="0.25">
      <c r="A7" s="2" t="s">
        <v>13</v>
      </c>
      <c r="B7" s="5">
        <f t="shared" ref="B7:AQ7" si="0">B3</f>
        <v>44926</v>
      </c>
      <c r="C7" s="5">
        <f t="shared" si="0"/>
        <v>44929</v>
      </c>
      <c r="D7" s="5">
        <f t="shared" si="0"/>
        <v>44930</v>
      </c>
      <c r="E7" s="5">
        <f t="shared" si="0"/>
        <v>44931</v>
      </c>
      <c r="F7" s="5">
        <f t="shared" si="0"/>
        <v>44932</v>
      </c>
      <c r="G7" s="5">
        <f t="shared" si="0"/>
        <v>44935</v>
      </c>
      <c r="H7" s="5">
        <f t="shared" si="0"/>
        <v>44936</v>
      </c>
      <c r="I7" s="5">
        <f t="shared" si="0"/>
        <v>44937</v>
      </c>
      <c r="J7" s="5">
        <f t="shared" si="0"/>
        <v>44938</v>
      </c>
      <c r="K7" s="5">
        <f t="shared" si="0"/>
        <v>44939</v>
      </c>
      <c r="L7" s="5">
        <f t="shared" si="0"/>
        <v>44942</v>
      </c>
      <c r="M7" s="5">
        <f t="shared" si="0"/>
        <v>44943</v>
      </c>
      <c r="N7" s="5">
        <f t="shared" si="0"/>
        <v>44944</v>
      </c>
      <c r="O7" s="5">
        <f t="shared" si="0"/>
        <v>44945</v>
      </c>
      <c r="P7" s="5">
        <f t="shared" si="0"/>
        <v>44946</v>
      </c>
      <c r="Q7" s="5">
        <f t="shared" si="0"/>
        <v>44949</v>
      </c>
      <c r="R7" s="5">
        <f t="shared" si="0"/>
        <v>44950</v>
      </c>
      <c r="S7" s="5">
        <f t="shared" si="0"/>
        <v>44951</v>
      </c>
      <c r="T7" s="5">
        <f t="shared" si="0"/>
        <v>44952</v>
      </c>
      <c r="U7" s="5">
        <f t="shared" si="0"/>
        <v>44953</v>
      </c>
      <c r="V7" s="5">
        <f t="shared" si="0"/>
        <v>44956</v>
      </c>
      <c r="W7" s="5">
        <f t="shared" si="0"/>
        <v>44957</v>
      </c>
      <c r="X7" s="5">
        <f t="shared" si="0"/>
        <v>44958</v>
      </c>
      <c r="Y7" s="5">
        <f t="shared" si="0"/>
        <v>44959</v>
      </c>
      <c r="Z7" s="5">
        <f t="shared" si="0"/>
        <v>44960</v>
      </c>
      <c r="AA7" s="5">
        <f t="shared" si="0"/>
        <v>44963</v>
      </c>
      <c r="AB7" s="5">
        <f t="shared" si="0"/>
        <v>44964</v>
      </c>
      <c r="AC7" s="5">
        <f t="shared" si="0"/>
        <v>44965</v>
      </c>
      <c r="AD7" s="5">
        <f t="shared" si="0"/>
        <v>44966</v>
      </c>
      <c r="AE7" s="5">
        <f t="shared" si="0"/>
        <v>44967</v>
      </c>
      <c r="AF7" s="5">
        <f t="shared" si="0"/>
        <v>44970</v>
      </c>
      <c r="AG7" s="5">
        <f t="shared" si="0"/>
        <v>44971</v>
      </c>
      <c r="AH7" s="5">
        <f t="shared" si="0"/>
        <v>44972</v>
      </c>
      <c r="AI7" s="5">
        <f t="shared" si="0"/>
        <v>44973</v>
      </c>
      <c r="AJ7" s="5">
        <f t="shared" si="0"/>
        <v>44974</v>
      </c>
      <c r="AK7" s="5">
        <f t="shared" si="0"/>
        <v>44977</v>
      </c>
      <c r="AL7" s="5">
        <f t="shared" si="0"/>
        <v>44978</v>
      </c>
      <c r="AM7" s="5">
        <f t="shared" si="0"/>
        <v>44979</v>
      </c>
      <c r="AN7" s="5">
        <f t="shared" si="0"/>
        <v>44980</v>
      </c>
      <c r="AO7" s="5">
        <f t="shared" si="0"/>
        <v>44981</v>
      </c>
      <c r="AP7" s="5">
        <f t="shared" si="0"/>
        <v>44984</v>
      </c>
      <c r="AQ7" s="5">
        <f t="shared" si="0"/>
        <v>44985</v>
      </c>
    </row>
    <row r="8" spans="1:49" x14ac:dyDescent="0.25">
      <c r="A8" t="s">
        <v>8</v>
      </c>
      <c r="B8">
        <v>70</v>
      </c>
      <c r="C8" s="3">
        <v>73.5</v>
      </c>
      <c r="D8" s="3">
        <v>69.825000000000003</v>
      </c>
      <c r="E8" s="3">
        <v>71.221500000000006</v>
      </c>
      <c r="F8" s="3">
        <v>75.494790000000009</v>
      </c>
      <c r="G8" s="3">
        <v>75.494790000000009</v>
      </c>
      <c r="H8" s="3">
        <v>77.004685800000004</v>
      </c>
      <c r="I8" s="3">
        <v>74.694545226000002</v>
      </c>
      <c r="J8" s="3">
        <v>72.453708869219994</v>
      </c>
      <c r="K8" s="3">
        <v>72.453708869219994</v>
      </c>
      <c r="L8" s="3">
        <v>72.453708869219994</v>
      </c>
      <c r="M8" s="3">
        <v>73.902783046604398</v>
      </c>
      <c r="N8" s="3">
        <v>71.68569955520627</v>
      </c>
      <c r="O8" s="3">
        <v>75.269984532966589</v>
      </c>
      <c r="P8" s="3">
        <v>73.011884996977585</v>
      </c>
      <c r="Q8" s="3">
        <v>73.011884996977585</v>
      </c>
      <c r="R8" s="3">
        <v>73.011884996977585</v>
      </c>
      <c r="S8" s="3">
        <v>75.20224154688691</v>
      </c>
      <c r="T8" s="3">
        <v>72.194151885011436</v>
      </c>
      <c r="U8" s="3">
        <v>74.359976441561784</v>
      </c>
      <c r="V8" s="3">
        <v>75.103576205977404</v>
      </c>
      <c r="W8" s="3">
        <v>75.854611968037176</v>
      </c>
      <c r="X8" s="3">
        <v>76.613158087717551</v>
      </c>
      <c r="Y8" s="3">
        <v>77.379289668594723</v>
      </c>
      <c r="Z8" s="3">
        <v>79.700668358652564</v>
      </c>
      <c r="AA8" s="3">
        <v>82.091688409412143</v>
      </c>
      <c r="AB8" s="3">
        <v>79.628937757129776</v>
      </c>
      <c r="AC8" s="3">
        <v>83.610384644986269</v>
      </c>
      <c r="AD8" s="3">
        <v>82.77428079853641</v>
      </c>
      <c r="AE8" s="3">
        <v>85.257509222492502</v>
      </c>
      <c r="AF8" s="3">
        <v>92.078109960291911</v>
      </c>
      <c r="AG8" s="3">
        <v>92.078109960291911</v>
      </c>
      <c r="AH8" s="3">
        <v>92.998891059894831</v>
      </c>
      <c r="AI8" s="3">
        <v>92.998891059894831</v>
      </c>
      <c r="AJ8" s="3">
        <v>96.718846702290634</v>
      </c>
      <c r="AK8" s="3">
        <v>96.718846702290634</v>
      </c>
      <c r="AL8" s="3">
        <v>96.718846702290634</v>
      </c>
      <c r="AM8" s="3">
        <v>101.55478903740517</v>
      </c>
      <c r="AN8" s="3">
        <v>104.60143270852733</v>
      </c>
      <c r="AO8" s="3">
        <v>104.60143270852733</v>
      </c>
      <c r="AP8" s="3">
        <v>108.78549001686842</v>
      </c>
      <c r="AQ8" s="3">
        <v>112.04905471737447</v>
      </c>
    </row>
    <row r="9" spans="1:49" x14ac:dyDescent="0.25">
      <c r="A9" t="s">
        <v>9</v>
      </c>
      <c r="B9">
        <v>50</v>
      </c>
      <c r="C9" s="3">
        <v>48</v>
      </c>
      <c r="D9" s="3">
        <v>49.44</v>
      </c>
      <c r="E9" s="3">
        <v>50.428799999999995</v>
      </c>
      <c r="F9" s="3">
        <v>49.924511999999993</v>
      </c>
      <c r="G9" s="3">
        <v>51.422247359999993</v>
      </c>
      <c r="H9" s="3">
        <v>52.964914780799994</v>
      </c>
      <c r="I9" s="3">
        <v>54.553862224223998</v>
      </c>
      <c r="J9" s="3">
        <v>55.099400846466239</v>
      </c>
      <c r="K9" s="3">
        <v>54.548406838001576</v>
      </c>
      <c r="L9" s="3">
        <v>55.093890906381588</v>
      </c>
      <c r="M9" s="3">
        <v>58.399524360764488</v>
      </c>
      <c r="N9" s="3">
        <v>58.399524360764488</v>
      </c>
      <c r="O9" s="3">
        <v>56.64753862994155</v>
      </c>
      <c r="P9" s="3">
        <v>54.381637084743886</v>
      </c>
      <c r="Q9" s="3">
        <v>55.469269826438762</v>
      </c>
      <c r="R9" s="3">
        <v>54.914577128174372</v>
      </c>
      <c r="S9" s="3">
        <v>54.914577128174372</v>
      </c>
      <c r="T9" s="3">
        <v>54.365431356892628</v>
      </c>
      <c r="U9" s="3">
        <v>54.909085670461558</v>
      </c>
      <c r="V9" s="3">
        <v>56.556358240575406</v>
      </c>
      <c r="W9" s="3">
        <v>55.990794658169655</v>
      </c>
      <c r="X9" s="3">
        <v>54.311070818424561</v>
      </c>
      <c r="Y9" s="3">
        <v>53.767960110240317</v>
      </c>
      <c r="Z9" s="3">
        <v>54.305639711342721</v>
      </c>
      <c r="AA9" s="3">
        <v>55.391752505569578</v>
      </c>
      <c r="AB9" s="3">
        <v>55.391752505569578</v>
      </c>
      <c r="AC9" s="3">
        <v>55.391752505569578</v>
      </c>
      <c r="AD9" s="3">
        <v>56.499587555680968</v>
      </c>
      <c r="AE9" s="3">
        <v>57.629579306794589</v>
      </c>
      <c r="AF9" s="3">
        <v>61.08735406520227</v>
      </c>
      <c r="AG9" s="3">
        <v>61.08735406520227</v>
      </c>
      <c r="AH9" s="3">
        <v>62.309101146506315</v>
      </c>
      <c r="AI9" s="3">
        <v>61.686010135041251</v>
      </c>
      <c r="AJ9" s="3">
        <v>66.62089094584455</v>
      </c>
      <c r="AK9" s="3">
        <v>64.622264217469208</v>
      </c>
      <c r="AL9" s="3">
        <v>68.49960007051736</v>
      </c>
      <c r="AM9" s="3">
        <v>68.49960007051736</v>
      </c>
      <c r="AN9" s="3">
        <v>69.184596071222529</v>
      </c>
      <c r="AO9" s="3">
        <v>69.876442031934758</v>
      </c>
      <c r="AP9" s="3">
        <v>69.177677611615408</v>
      </c>
      <c r="AQ9" s="3">
        <v>66.410570507150794</v>
      </c>
    </row>
    <row r="10" spans="1:49" x14ac:dyDescent="0.25">
      <c r="A10" t="s">
        <v>10</v>
      </c>
      <c r="B10">
        <v>10</v>
      </c>
      <c r="C10" s="3">
        <v>10.3</v>
      </c>
      <c r="D10" s="3">
        <v>9.9909999999999997</v>
      </c>
      <c r="E10" s="3">
        <v>9.9909999999999997</v>
      </c>
      <c r="F10" s="3">
        <v>9.8910900000000002</v>
      </c>
      <c r="G10" s="3">
        <v>9.5943573000000004</v>
      </c>
      <c r="H10" s="3">
        <v>9.5943573000000004</v>
      </c>
      <c r="I10" s="3">
        <v>9.8821880190000009</v>
      </c>
      <c r="J10" s="3">
        <v>9.9810098991900009</v>
      </c>
      <c r="K10" s="3">
        <v>9.9810098991900009</v>
      </c>
      <c r="L10" s="3">
        <v>9.9810098991900009</v>
      </c>
      <c r="M10" s="3">
        <v>9.9810098991900009</v>
      </c>
      <c r="N10" s="3">
        <v>10.1806300971738</v>
      </c>
      <c r="O10" s="3">
        <v>9.8752111942585863</v>
      </c>
      <c r="P10" s="3">
        <v>10.072715418143758</v>
      </c>
      <c r="Q10" s="3">
        <v>10.173442572325197</v>
      </c>
      <c r="R10" s="3">
        <v>10.478645849494953</v>
      </c>
      <c r="S10" s="3">
        <v>10.793005224979801</v>
      </c>
      <c r="T10" s="3">
        <v>10.793005224979801</v>
      </c>
      <c r="U10" s="3">
        <v>11.008865329479397</v>
      </c>
      <c r="V10" s="3">
        <v>11.559308595953366</v>
      </c>
      <c r="W10" s="3">
        <v>11.559308595953366</v>
      </c>
      <c r="X10" s="3">
        <v>11.096936252115231</v>
      </c>
      <c r="Y10" s="3">
        <v>11.98469115228445</v>
      </c>
      <c r="Z10" s="3">
        <v>11.98469115228445</v>
      </c>
      <c r="AA10" s="3">
        <v>12.344231886852983</v>
      </c>
      <c r="AB10" s="3">
        <v>12.344231886852983</v>
      </c>
      <c r="AC10" s="3">
        <v>12.714558843458573</v>
      </c>
      <c r="AD10" s="3">
        <v>12.333122078154815</v>
      </c>
      <c r="AE10" s="3">
        <v>11.963128415810171</v>
      </c>
      <c r="AF10" s="3">
        <v>11.963128415810171</v>
      </c>
      <c r="AG10" s="3">
        <v>12.680916120758782</v>
      </c>
      <c r="AH10" s="3">
        <v>12.680916120758782</v>
      </c>
      <c r="AI10" s="3">
        <v>13.188152765589134</v>
      </c>
      <c r="AJ10" s="3">
        <v>13.188152765589134</v>
      </c>
      <c r="AK10" s="3">
        <v>13.188152765589134</v>
      </c>
      <c r="AL10" s="3">
        <v>13.056271237933242</v>
      </c>
      <c r="AM10" s="3">
        <v>13.056271237933242</v>
      </c>
      <c r="AN10" s="3">
        <v>12.664583100795245</v>
      </c>
      <c r="AO10" s="3">
        <v>12.917874762811149</v>
      </c>
      <c r="AP10" s="3">
        <v>12.530338519926813</v>
      </c>
      <c r="AQ10" s="3">
        <v>12.78094529032535</v>
      </c>
    </row>
    <row r="11" spans="1:49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9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9" x14ac:dyDescent="0.25">
      <c r="A13" s="2" t="s">
        <v>0</v>
      </c>
      <c r="B13" s="3"/>
      <c r="C13" s="3"/>
      <c r="D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9" x14ac:dyDescent="0.25">
      <c r="A14" t="s">
        <v>2</v>
      </c>
      <c r="B14" s="4">
        <v>-0.03</v>
      </c>
      <c r="C14" s="3"/>
      <c r="D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9" x14ac:dyDescent="0.25">
      <c r="A15" t="s">
        <v>3</v>
      </c>
      <c r="B15" s="4">
        <v>0.05</v>
      </c>
      <c r="C15" s="3"/>
      <c r="D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9" x14ac:dyDescent="0.25">
      <c r="A16" t="s">
        <v>11</v>
      </c>
      <c r="B16" s="4">
        <v>0.5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5">
      <c r="A17" t="s">
        <v>1</v>
      </c>
      <c r="B17" s="4">
        <v>-0.5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5">
      <c r="A20" s="2" t="s">
        <v>47</v>
      </c>
      <c r="B20" s="3"/>
    </row>
    <row r="21" spans="1:43" x14ac:dyDescent="0.25">
      <c r="A21" t="s">
        <v>4</v>
      </c>
      <c r="B21" s="9">
        <v>0</v>
      </c>
    </row>
    <row r="22" spans="1:43" x14ac:dyDescent="0.25">
      <c r="A22" s="3"/>
      <c r="B22" s="3"/>
    </row>
    <row r="23" spans="1:43" x14ac:dyDescent="0.25">
      <c r="A23" s="10"/>
      <c r="B23" s="11">
        <v>44926</v>
      </c>
      <c r="C23" s="11">
        <v>44929</v>
      </c>
      <c r="D23" s="11">
        <v>44930</v>
      </c>
      <c r="E23" s="11">
        <v>44931</v>
      </c>
      <c r="F23" s="11">
        <v>44932</v>
      </c>
      <c r="G23" s="11">
        <v>44935</v>
      </c>
      <c r="H23" s="11">
        <v>44936</v>
      </c>
      <c r="I23" s="11">
        <v>44937</v>
      </c>
      <c r="J23" s="11">
        <v>44938</v>
      </c>
      <c r="K23" s="11">
        <v>44939</v>
      </c>
      <c r="L23" s="11">
        <v>44942</v>
      </c>
      <c r="M23" s="11">
        <v>44943</v>
      </c>
      <c r="N23" s="11">
        <v>44944</v>
      </c>
      <c r="O23" s="11">
        <v>44945</v>
      </c>
      <c r="P23" s="11">
        <v>44946</v>
      </c>
      <c r="Q23" s="11">
        <v>44949</v>
      </c>
      <c r="R23" s="11">
        <v>44950</v>
      </c>
      <c r="S23" s="11">
        <v>44951</v>
      </c>
      <c r="T23" s="11">
        <v>44952</v>
      </c>
      <c r="U23" s="11">
        <v>44953</v>
      </c>
      <c r="V23" s="11">
        <v>44956</v>
      </c>
      <c r="W23" s="11">
        <v>44957</v>
      </c>
      <c r="X23" s="11">
        <v>44958</v>
      </c>
      <c r="Y23" s="11">
        <v>44959</v>
      </c>
      <c r="Z23" s="11">
        <v>44960</v>
      </c>
      <c r="AA23" s="11">
        <v>44963</v>
      </c>
      <c r="AB23" s="11">
        <v>44964</v>
      </c>
      <c r="AC23" s="11">
        <v>44965</v>
      </c>
      <c r="AD23" s="11">
        <v>44966</v>
      </c>
      <c r="AE23" s="11">
        <v>44967</v>
      </c>
      <c r="AF23" s="11">
        <v>44970</v>
      </c>
      <c r="AG23" s="11">
        <v>44971</v>
      </c>
      <c r="AH23" s="11">
        <v>44972</v>
      </c>
      <c r="AI23" s="11">
        <v>44973</v>
      </c>
      <c r="AJ23" s="11">
        <v>44974</v>
      </c>
      <c r="AK23" s="11">
        <v>44977</v>
      </c>
      <c r="AL23" s="11">
        <v>44978</v>
      </c>
      <c r="AM23" s="11">
        <v>44979</v>
      </c>
      <c r="AN23" s="11">
        <v>44980</v>
      </c>
      <c r="AO23" s="11">
        <v>44981</v>
      </c>
      <c r="AP23" s="11">
        <v>44984</v>
      </c>
      <c r="AQ23" s="11">
        <v>44985</v>
      </c>
    </row>
    <row r="24" spans="1:43" x14ac:dyDescent="0.25">
      <c r="A24" t="s">
        <v>19</v>
      </c>
      <c r="C24" s="4">
        <f>C4/B4-1</f>
        <v>1.0000000000000009E-2</v>
      </c>
      <c r="D24" s="4">
        <f t="shared" ref="D24:AQ24" si="1">D4/C4-1</f>
        <v>0</v>
      </c>
      <c r="E24" s="4">
        <f t="shared" si="1"/>
        <v>5.0000000000000044E-2</v>
      </c>
      <c r="F24" s="4">
        <f t="shared" si="1"/>
        <v>3.0000000000000027E-2</v>
      </c>
      <c r="G24" s="4">
        <f t="shared" si="1"/>
        <v>-2.0000000000000018E-2</v>
      </c>
      <c r="H24" s="4">
        <f t="shared" si="1"/>
        <v>3.0000000000000027E-2</v>
      </c>
      <c r="I24" s="4">
        <f t="shared" si="1"/>
        <v>1.0000000000000009E-2</v>
      </c>
      <c r="J24" s="4">
        <f t="shared" si="1"/>
        <v>-1.0000000000000009E-2</v>
      </c>
      <c r="K24" s="4">
        <f t="shared" si="1"/>
        <v>-1.0000000000000009E-2</v>
      </c>
      <c r="L24" s="4">
        <f t="shared" si="1"/>
        <v>-2.0000000000000018E-2</v>
      </c>
      <c r="M24" s="4">
        <f t="shared" si="1"/>
        <v>-3.0000000000000027E-2</v>
      </c>
      <c r="N24" s="4">
        <f t="shared" si="1"/>
        <v>-3.0000000000000027E-2</v>
      </c>
      <c r="O24" s="4">
        <f t="shared" si="1"/>
        <v>-1.0000000000000009E-2</v>
      </c>
      <c r="P24" s="4">
        <f t="shared" si="1"/>
        <v>-5.0000000000000044E-2</v>
      </c>
      <c r="Q24" s="4">
        <f t="shared" si="1"/>
        <v>0</v>
      </c>
      <c r="R24" s="4">
        <f t="shared" si="1"/>
        <v>1.0000000000000009E-2</v>
      </c>
      <c r="S24" s="4">
        <f t="shared" si="1"/>
        <v>0</v>
      </c>
      <c r="T24" s="4">
        <f t="shared" si="1"/>
        <v>1.0000000000000009E-2</v>
      </c>
      <c r="U24" s="4">
        <f t="shared" si="1"/>
        <v>-2.0000000000000018E-2</v>
      </c>
      <c r="V24" s="4">
        <f t="shared" si="1"/>
        <v>3.0000000000000027E-2</v>
      </c>
      <c r="W24" s="4">
        <f t="shared" si="1"/>
        <v>-2.0000000000000129E-2</v>
      </c>
      <c r="X24" s="4">
        <f t="shared" si="1"/>
        <v>-3.0000000000000027E-2</v>
      </c>
      <c r="Y24" s="4">
        <f t="shared" si="1"/>
        <v>-5.0000000000000044E-2</v>
      </c>
      <c r="Z24" s="4">
        <f t="shared" si="1"/>
        <v>5.0000000000000044E-2</v>
      </c>
      <c r="AA24" s="4">
        <f t="shared" si="1"/>
        <v>1.0000000000000009E-2</v>
      </c>
      <c r="AB24" s="4">
        <f t="shared" si="1"/>
        <v>0</v>
      </c>
      <c r="AC24" s="4">
        <f t="shared" si="1"/>
        <v>-1.0000000000000009E-2</v>
      </c>
      <c r="AD24" s="4">
        <f t="shared" si="1"/>
        <v>0</v>
      </c>
      <c r="AE24" s="4">
        <f t="shared" si="1"/>
        <v>1.0000000000000009E-2</v>
      </c>
      <c r="AF24" s="4">
        <f t="shared" si="1"/>
        <v>1.0000000000000009E-2</v>
      </c>
      <c r="AG24" s="4">
        <f t="shared" si="1"/>
        <v>-2.0000000000000018E-2</v>
      </c>
      <c r="AH24" s="4">
        <f t="shared" si="1"/>
        <v>-2.0000000000000018E-2</v>
      </c>
      <c r="AI24" s="4">
        <f t="shared" si="1"/>
        <v>0</v>
      </c>
      <c r="AJ24" s="4">
        <f t="shared" si="1"/>
        <v>2.0000000000000018E-2</v>
      </c>
      <c r="AK24" s="4">
        <f t="shared" si="1"/>
        <v>3.0000000000000027E-2</v>
      </c>
      <c r="AL24" s="4">
        <f t="shared" si="1"/>
        <v>-2.0000000000000018E-2</v>
      </c>
      <c r="AM24" s="4">
        <f t="shared" si="1"/>
        <v>-3.0000000000000027E-2</v>
      </c>
      <c r="AN24" s="4">
        <f t="shared" si="1"/>
        <v>2.0000000000000018E-2</v>
      </c>
      <c r="AO24" s="4">
        <f t="shared" si="1"/>
        <v>3.0000000000000027E-2</v>
      </c>
      <c r="AP24" s="4">
        <f t="shared" si="1"/>
        <v>3.0000000000000027E-2</v>
      </c>
      <c r="AQ24" s="4">
        <f t="shared" si="1"/>
        <v>-5.0000000000000155E-2</v>
      </c>
    </row>
    <row r="25" spans="1:43" x14ac:dyDescent="0.25">
      <c r="A25" t="s">
        <v>22</v>
      </c>
      <c r="C25" s="4">
        <f>C8/B8-1</f>
        <v>5.0000000000000044E-2</v>
      </c>
      <c r="D25" s="4">
        <f t="shared" ref="D25:AQ25" si="2">D8/C8-1</f>
        <v>-4.9999999999999933E-2</v>
      </c>
      <c r="E25" s="4">
        <f t="shared" si="2"/>
        <v>2.0000000000000018E-2</v>
      </c>
      <c r="F25" s="4">
        <f t="shared" si="2"/>
        <v>6.0000000000000053E-2</v>
      </c>
      <c r="G25" s="4">
        <f t="shared" si="2"/>
        <v>0</v>
      </c>
      <c r="H25" s="4">
        <f t="shared" si="2"/>
        <v>2.0000000000000018E-2</v>
      </c>
      <c r="I25" s="4">
        <f t="shared" si="2"/>
        <v>-3.0000000000000027E-2</v>
      </c>
      <c r="J25" s="4">
        <f t="shared" si="2"/>
        <v>-3.0000000000000138E-2</v>
      </c>
      <c r="K25" s="4">
        <f t="shared" si="2"/>
        <v>0</v>
      </c>
      <c r="L25" s="4">
        <f t="shared" si="2"/>
        <v>0</v>
      </c>
      <c r="M25" s="4">
        <f t="shared" si="2"/>
        <v>2.0000000000000018E-2</v>
      </c>
      <c r="N25" s="4">
        <f t="shared" si="2"/>
        <v>-2.9999999999999916E-2</v>
      </c>
      <c r="O25" s="4">
        <f t="shared" si="2"/>
        <v>5.0000000000000044E-2</v>
      </c>
      <c r="P25" s="4">
        <f t="shared" si="2"/>
        <v>-3.0000000000000138E-2</v>
      </c>
      <c r="Q25" s="4">
        <f t="shared" si="2"/>
        <v>0</v>
      </c>
      <c r="R25" s="4">
        <f t="shared" si="2"/>
        <v>0</v>
      </c>
      <c r="S25" s="4">
        <f t="shared" si="2"/>
        <v>3.0000000000000027E-2</v>
      </c>
      <c r="T25" s="4">
        <f t="shared" si="2"/>
        <v>-3.9999999999999925E-2</v>
      </c>
      <c r="U25" s="4">
        <f t="shared" si="2"/>
        <v>3.0000000000000027E-2</v>
      </c>
      <c r="V25" s="4">
        <f t="shared" si="2"/>
        <v>1.0000000000000009E-2</v>
      </c>
      <c r="W25" s="4">
        <f t="shared" si="2"/>
        <v>1.0000000000000009E-2</v>
      </c>
      <c r="X25" s="4">
        <f t="shared" si="2"/>
        <v>1.0000000000000009E-2</v>
      </c>
      <c r="Y25" s="4">
        <f t="shared" si="2"/>
        <v>1.0000000000000009E-2</v>
      </c>
      <c r="Z25" s="4">
        <f t="shared" si="2"/>
        <v>3.0000000000000027E-2</v>
      </c>
      <c r="AA25" s="4">
        <f t="shared" si="2"/>
        <v>3.0000000000000027E-2</v>
      </c>
      <c r="AB25" s="4">
        <f t="shared" si="2"/>
        <v>-3.0000000000000027E-2</v>
      </c>
      <c r="AC25" s="4">
        <f t="shared" si="2"/>
        <v>5.0000000000000044E-2</v>
      </c>
      <c r="AD25" s="4">
        <f t="shared" si="2"/>
        <v>-1.0000000000000009E-2</v>
      </c>
      <c r="AE25" s="4">
        <f t="shared" si="2"/>
        <v>3.0000000000000027E-2</v>
      </c>
      <c r="AF25" s="4">
        <f t="shared" si="2"/>
        <v>8.0000000000000071E-2</v>
      </c>
      <c r="AG25" s="4">
        <f t="shared" si="2"/>
        <v>0</v>
      </c>
      <c r="AH25" s="4">
        <f t="shared" si="2"/>
        <v>1.0000000000000009E-2</v>
      </c>
      <c r="AI25" s="4">
        <f t="shared" si="2"/>
        <v>0</v>
      </c>
      <c r="AJ25" s="4">
        <f t="shared" si="2"/>
        <v>4.0000000000000036E-2</v>
      </c>
      <c r="AK25" s="4">
        <f t="shared" si="2"/>
        <v>0</v>
      </c>
      <c r="AL25" s="4">
        <f t="shared" si="2"/>
        <v>0</v>
      </c>
      <c r="AM25" s="4">
        <f t="shared" si="2"/>
        <v>5.0000000000000044E-2</v>
      </c>
      <c r="AN25" s="4">
        <f t="shared" si="2"/>
        <v>3.0000000000000027E-2</v>
      </c>
      <c r="AO25" s="4">
        <f t="shared" si="2"/>
        <v>0</v>
      </c>
      <c r="AP25" s="4">
        <f t="shared" si="2"/>
        <v>4.0000000000000036E-2</v>
      </c>
      <c r="AQ25" s="4">
        <f t="shared" si="2"/>
        <v>3.0000000000000027E-2</v>
      </c>
    </row>
    <row r="26" spans="1:43" x14ac:dyDescent="0.25">
      <c r="A26" t="s">
        <v>23</v>
      </c>
      <c r="C26" s="4">
        <f>C4/$B$4-1</f>
        <v>1.0000000000000009E-2</v>
      </c>
      <c r="D26" s="4">
        <f t="shared" ref="D26:AQ26" si="3">D4/$B$4-1</f>
        <v>1.0000000000000009E-2</v>
      </c>
      <c r="E26" s="4">
        <f t="shared" si="3"/>
        <v>6.050000000000022E-2</v>
      </c>
      <c r="F26" s="4">
        <f t="shared" si="3"/>
        <v>9.2315000000000147E-2</v>
      </c>
      <c r="G26" s="4">
        <f t="shared" si="3"/>
        <v>7.0468700000000162E-2</v>
      </c>
      <c r="H26" s="4">
        <f t="shared" si="3"/>
        <v>0.10258276100000008</v>
      </c>
      <c r="I26" s="4">
        <f t="shared" si="3"/>
        <v>0.11360858861000023</v>
      </c>
      <c r="J26" s="4">
        <f t="shared" si="3"/>
        <v>0.10247250272390018</v>
      </c>
      <c r="K26" s="4">
        <f t="shared" si="3"/>
        <v>9.1447777696661126E-2</v>
      </c>
      <c r="L26" s="4">
        <f t="shared" si="3"/>
        <v>6.9618822142727854E-2</v>
      </c>
      <c r="M26" s="4">
        <f t="shared" si="3"/>
        <v>3.7530257478445961E-2</v>
      </c>
      <c r="N26" s="4">
        <f t="shared" si="3"/>
        <v>6.4043497540926531E-3</v>
      </c>
      <c r="O26" s="4">
        <f t="shared" si="3"/>
        <v>-3.6596937434483223E-3</v>
      </c>
      <c r="P26" s="4">
        <f t="shared" si="3"/>
        <v>-5.3476709056275995E-2</v>
      </c>
      <c r="Q26" s="4">
        <f t="shared" si="3"/>
        <v>-5.3476709056275995E-2</v>
      </c>
      <c r="R26" s="4">
        <f t="shared" si="3"/>
        <v>-4.4011476146838646E-2</v>
      </c>
      <c r="S26" s="4">
        <f t="shared" si="3"/>
        <v>-4.4011476146838646E-2</v>
      </c>
      <c r="T26" s="4">
        <f t="shared" si="3"/>
        <v>-3.4451590908306962E-2</v>
      </c>
      <c r="U26" s="4">
        <f t="shared" si="3"/>
        <v>-5.3762559090140938E-2</v>
      </c>
      <c r="V26" s="4">
        <f t="shared" si="3"/>
        <v>-2.5375435862845186E-2</v>
      </c>
      <c r="W26" s="4">
        <f t="shared" si="3"/>
        <v>-4.4867927145588293E-2</v>
      </c>
      <c r="X26" s="4">
        <f t="shared" si="3"/>
        <v>-7.3521889331220613E-2</v>
      </c>
      <c r="Y26" s="4">
        <f t="shared" si="3"/>
        <v>-0.11984579486465963</v>
      </c>
      <c r="Z26" s="4">
        <f t="shared" si="3"/>
        <v>-7.5838084607892542E-2</v>
      </c>
      <c r="AA26" s="4">
        <f t="shared" si="3"/>
        <v>-6.6596465453971465E-2</v>
      </c>
      <c r="AB26" s="4">
        <f t="shared" si="3"/>
        <v>-6.6596465453971465E-2</v>
      </c>
      <c r="AC26" s="4">
        <f t="shared" si="3"/>
        <v>-7.5930500799431866E-2</v>
      </c>
      <c r="AD26" s="4">
        <f t="shared" si="3"/>
        <v>-7.5930500799431866E-2</v>
      </c>
      <c r="AE26" s="4">
        <f t="shared" si="3"/>
        <v>-6.6689805807426117E-2</v>
      </c>
      <c r="AF26" s="4">
        <f t="shared" si="3"/>
        <v>-5.7356703865500402E-2</v>
      </c>
      <c r="AG26" s="4">
        <f t="shared" si="3"/>
        <v>-7.6209569788190379E-2</v>
      </c>
      <c r="AH26" s="4">
        <f t="shared" si="3"/>
        <v>-9.4685378392426522E-2</v>
      </c>
      <c r="AI26" s="4">
        <f t="shared" si="3"/>
        <v>-9.4685378392426522E-2</v>
      </c>
      <c r="AJ26" s="4">
        <f t="shared" si="3"/>
        <v>-7.6579085960275073E-2</v>
      </c>
      <c r="AK26" s="4">
        <f t="shared" si="3"/>
        <v>-4.8876458539083401E-2</v>
      </c>
      <c r="AL26" s="4">
        <f t="shared" si="3"/>
        <v>-6.7898929368301664E-2</v>
      </c>
      <c r="AM26" s="4">
        <f t="shared" si="3"/>
        <v>-9.5861961487252678E-2</v>
      </c>
      <c r="AN26" s="4">
        <f t="shared" si="3"/>
        <v>-7.7779200716997732E-2</v>
      </c>
      <c r="AO26" s="4">
        <f t="shared" si="3"/>
        <v>-5.0112576738507664E-2</v>
      </c>
      <c r="AP26" s="4">
        <f t="shared" si="3"/>
        <v>-2.1615954040662855E-2</v>
      </c>
      <c r="AQ26" s="4">
        <f t="shared" si="3"/>
        <v>-7.0535156338629834E-2</v>
      </c>
    </row>
    <row r="27" spans="1:43" x14ac:dyDescent="0.25">
      <c r="A27" t="s">
        <v>21</v>
      </c>
      <c r="C27" s="4" t="str">
        <f>IF(C24&lt;$B$14,"Y","N")</f>
        <v>N</v>
      </c>
      <c r="D27" s="4" t="str">
        <f t="shared" ref="D27:AQ27" si="4">IF(D24&lt;$B$14,"Y","N")</f>
        <v>N</v>
      </c>
      <c r="E27" s="4" t="str">
        <f t="shared" si="4"/>
        <v>N</v>
      </c>
      <c r="F27" s="4" t="str">
        <f t="shared" si="4"/>
        <v>N</v>
      </c>
      <c r="G27" s="4" t="str">
        <f t="shared" si="4"/>
        <v>N</v>
      </c>
      <c r="H27" s="4" t="str">
        <f t="shared" si="4"/>
        <v>N</v>
      </c>
      <c r="I27" s="4" t="str">
        <f t="shared" si="4"/>
        <v>N</v>
      </c>
      <c r="J27" s="4" t="str">
        <f t="shared" si="4"/>
        <v>N</v>
      </c>
      <c r="K27" s="4" t="str">
        <f t="shared" si="4"/>
        <v>N</v>
      </c>
      <c r="L27" s="4" t="str">
        <f t="shared" si="4"/>
        <v>N</v>
      </c>
      <c r="M27" s="4" t="str">
        <f t="shared" si="4"/>
        <v>N</v>
      </c>
      <c r="N27" s="4" t="str">
        <f t="shared" si="4"/>
        <v>N</v>
      </c>
      <c r="O27" s="4" t="str">
        <f t="shared" si="4"/>
        <v>N</v>
      </c>
      <c r="P27" s="4" t="str">
        <f t="shared" si="4"/>
        <v>Y</v>
      </c>
      <c r="Q27" s="4" t="str">
        <f t="shared" si="4"/>
        <v>N</v>
      </c>
      <c r="R27" s="4" t="str">
        <f t="shared" si="4"/>
        <v>N</v>
      </c>
      <c r="S27" s="4" t="str">
        <f t="shared" si="4"/>
        <v>N</v>
      </c>
      <c r="T27" s="4" t="str">
        <f t="shared" si="4"/>
        <v>N</v>
      </c>
      <c r="U27" s="4" t="str">
        <f t="shared" si="4"/>
        <v>N</v>
      </c>
      <c r="V27" s="4" t="str">
        <f t="shared" si="4"/>
        <v>N</v>
      </c>
      <c r="W27" s="4" t="str">
        <f t="shared" si="4"/>
        <v>N</v>
      </c>
      <c r="X27" s="4" t="str">
        <f t="shared" si="4"/>
        <v>N</v>
      </c>
      <c r="Y27" s="4" t="str">
        <f t="shared" si="4"/>
        <v>Y</v>
      </c>
      <c r="Z27" s="4" t="str">
        <f t="shared" si="4"/>
        <v>N</v>
      </c>
      <c r="AA27" s="4" t="str">
        <f t="shared" si="4"/>
        <v>N</v>
      </c>
      <c r="AB27" s="4" t="str">
        <f t="shared" si="4"/>
        <v>N</v>
      </c>
      <c r="AC27" s="4" t="str">
        <f t="shared" si="4"/>
        <v>N</v>
      </c>
      <c r="AD27" s="4" t="str">
        <f t="shared" si="4"/>
        <v>N</v>
      </c>
      <c r="AE27" s="4" t="str">
        <f t="shared" si="4"/>
        <v>N</v>
      </c>
      <c r="AF27" s="4" t="str">
        <f t="shared" si="4"/>
        <v>N</v>
      </c>
      <c r="AG27" s="4" t="str">
        <f t="shared" si="4"/>
        <v>N</v>
      </c>
      <c r="AH27" s="4" t="str">
        <f t="shared" si="4"/>
        <v>N</v>
      </c>
      <c r="AI27" s="4" t="str">
        <f t="shared" si="4"/>
        <v>N</v>
      </c>
      <c r="AJ27" s="4" t="str">
        <f t="shared" si="4"/>
        <v>N</v>
      </c>
      <c r="AK27" s="4" t="str">
        <f t="shared" si="4"/>
        <v>N</v>
      </c>
      <c r="AL27" s="4" t="str">
        <f t="shared" si="4"/>
        <v>N</v>
      </c>
      <c r="AM27" s="4" t="str">
        <f t="shared" si="4"/>
        <v>N</v>
      </c>
      <c r="AN27" s="4" t="str">
        <f t="shared" si="4"/>
        <v>N</v>
      </c>
      <c r="AO27" s="4" t="str">
        <f t="shared" si="4"/>
        <v>N</v>
      </c>
      <c r="AP27" s="4" t="str">
        <f t="shared" si="4"/>
        <v>N</v>
      </c>
      <c r="AQ27" s="4" t="str">
        <f t="shared" si="4"/>
        <v>Y</v>
      </c>
    </row>
    <row r="28" spans="1:43" x14ac:dyDescent="0.25">
      <c r="A28" t="s">
        <v>20</v>
      </c>
      <c r="C28" t="str">
        <f>IF(C25&gt;$B$15,"Y","N")</f>
        <v>N</v>
      </c>
      <c r="D28" t="str">
        <f t="shared" ref="D28:AQ28" si="5">IF(D25&gt;$B$15,"Y","N")</f>
        <v>N</v>
      </c>
      <c r="E28" t="str">
        <f t="shared" si="5"/>
        <v>N</v>
      </c>
      <c r="F28" t="str">
        <f t="shared" si="5"/>
        <v>Y</v>
      </c>
      <c r="G28" t="str">
        <f t="shared" si="5"/>
        <v>N</v>
      </c>
      <c r="H28" t="str">
        <f t="shared" si="5"/>
        <v>N</v>
      </c>
      <c r="I28" t="str">
        <f t="shared" si="5"/>
        <v>N</v>
      </c>
      <c r="J28" t="str">
        <f t="shared" si="5"/>
        <v>N</v>
      </c>
      <c r="K28" t="str">
        <f t="shared" si="5"/>
        <v>N</v>
      </c>
      <c r="L28" t="str">
        <f t="shared" si="5"/>
        <v>N</v>
      </c>
      <c r="M28" t="str">
        <f t="shared" si="5"/>
        <v>N</v>
      </c>
      <c r="N28" t="str">
        <f t="shared" si="5"/>
        <v>N</v>
      </c>
      <c r="O28" t="str">
        <f t="shared" si="5"/>
        <v>N</v>
      </c>
      <c r="P28" t="str">
        <f t="shared" si="5"/>
        <v>N</v>
      </c>
      <c r="Q28" t="str">
        <f t="shared" si="5"/>
        <v>N</v>
      </c>
      <c r="R28" t="str">
        <f t="shared" si="5"/>
        <v>N</v>
      </c>
      <c r="S28" t="str">
        <f t="shared" si="5"/>
        <v>N</v>
      </c>
      <c r="T28" t="str">
        <f t="shared" si="5"/>
        <v>N</v>
      </c>
      <c r="U28" t="str">
        <f t="shared" si="5"/>
        <v>N</v>
      </c>
      <c r="V28" t="str">
        <f t="shared" si="5"/>
        <v>N</v>
      </c>
      <c r="W28" t="str">
        <f t="shared" si="5"/>
        <v>N</v>
      </c>
      <c r="X28" t="str">
        <f t="shared" si="5"/>
        <v>N</v>
      </c>
      <c r="Y28" t="str">
        <f t="shared" si="5"/>
        <v>N</v>
      </c>
      <c r="Z28" t="str">
        <f t="shared" si="5"/>
        <v>N</v>
      </c>
      <c r="AA28" t="str">
        <f t="shared" si="5"/>
        <v>N</v>
      </c>
      <c r="AB28" t="str">
        <f t="shared" si="5"/>
        <v>N</v>
      </c>
      <c r="AC28" t="str">
        <f t="shared" si="5"/>
        <v>N</v>
      </c>
      <c r="AD28" t="str">
        <f t="shared" si="5"/>
        <v>N</v>
      </c>
      <c r="AE28" t="str">
        <f t="shared" si="5"/>
        <v>N</v>
      </c>
      <c r="AF28" t="str">
        <f t="shared" si="5"/>
        <v>Y</v>
      </c>
      <c r="AG28" t="str">
        <f t="shared" si="5"/>
        <v>N</v>
      </c>
      <c r="AH28" t="str">
        <f t="shared" si="5"/>
        <v>N</v>
      </c>
      <c r="AI28" t="str">
        <f t="shared" si="5"/>
        <v>N</v>
      </c>
      <c r="AJ28" t="str">
        <f t="shared" si="5"/>
        <v>N</v>
      </c>
      <c r="AK28" t="str">
        <f t="shared" si="5"/>
        <v>N</v>
      </c>
      <c r="AL28" t="str">
        <f t="shared" si="5"/>
        <v>N</v>
      </c>
      <c r="AM28" t="str">
        <f t="shared" si="5"/>
        <v>N</v>
      </c>
      <c r="AN28" t="str">
        <f t="shared" si="5"/>
        <v>N</v>
      </c>
      <c r="AO28" t="str">
        <f t="shared" si="5"/>
        <v>N</v>
      </c>
      <c r="AP28" t="str">
        <f t="shared" si="5"/>
        <v>N</v>
      </c>
      <c r="AQ28" t="str">
        <f t="shared" si="5"/>
        <v>N</v>
      </c>
    </row>
    <row r="29" spans="1:43" x14ac:dyDescent="0.25">
      <c r="A29" t="s">
        <v>14</v>
      </c>
      <c r="C29" t="str">
        <f>IF(C26&gt;$B$16,"Y","N")</f>
        <v>N</v>
      </c>
      <c r="D29" t="str">
        <f t="shared" ref="D29:AQ29" si="6">IF(D26&gt;$B$16,"Y","N")</f>
        <v>N</v>
      </c>
      <c r="E29" t="str">
        <f t="shared" si="6"/>
        <v>N</v>
      </c>
      <c r="F29" t="str">
        <f t="shared" si="6"/>
        <v>N</v>
      </c>
      <c r="G29" t="str">
        <f t="shared" si="6"/>
        <v>N</v>
      </c>
      <c r="H29" t="str">
        <f t="shared" si="6"/>
        <v>N</v>
      </c>
      <c r="I29" t="str">
        <f t="shared" si="6"/>
        <v>N</v>
      </c>
      <c r="J29" t="str">
        <f t="shared" si="6"/>
        <v>N</v>
      </c>
      <c r="K29" t="str">
        <f t="shared" si="6"/>
        <v>N</v>
      </c>
      <c r="L29" t="str">
        <f t="shared" si="6"/>
        <v>N</v>
      </c>
      <c r="M29" t="str">
        <f t="shared" si="6"/>
        <v>N</v>
      </c>
      <c r="N29" t="str">
        <f t="shared" si="6"/>
        <v>N</v>
      </c>
      <c r="O29" t="str">
        <f t="shared" si="6"/>
        <v>N</v>
      </c>
      <c r="P29" t="str">
        <f t="shared" si="6"/>
        <v>N</v>
      </c>
      <c r="Q29" t="str">
        <f t="shared" si="6"/>
        <v>N</v>
      </c>
      <c r="R29" t="str">
        <f t="shared" si="6"/>
        <v>N</v>
      </c>
      <c r="S29" t="str">
        <f t="shared" si="6"/>
        <v>N</v>
      </c>
      <c r="T29" t="str">
        <f t="shared" si="6"/>
        <v>N</v>
      </c>
      <c r="U29" t="str">
        <f t="shared" si="6"/>
        <v>N</v>
      </c>
      <c r="V29" t="str">
        <f t="shared" si="6"/>
        <v>N</v>
      </c>
      <c r="W29" t="str">
        <f t="shared" si="6"/>
        <v>N</v>
      </c>
      <c r="X29" t="str">
        <f t="shared" si="6"/>
        <v>N</v>
      </c>
      <c r="Y29" t="str">
        <f t="shared" si="6"/>
        <v>N</v>
      </c>
      <c r="Z29" t="str">
        <f t="shared" si="6"/>
        <v>N</v>
      </c>
      <c r="AA29" t="str">
        <f t="shared" si="6"/>
        <v>N</v>
      </c>
      <c r="AB29" t="str">
        <f t="shared" si="6"/>
        <v>N</v>
      </c>
      <c r="AC29" t="str">
        <f t="shared" si="6"/>
        <v>N</v>
      </c>
      <c r="AD29" t="str">
        <f t="shared" si="6"/>
        <v>N</v>
      </c>
      <c r="AE29" t="str">
        <f t="shared" si="6"/>
        <v>N</v>
      </c>
      <c r="AF29" t="str">
        <f t="shared" si="6"/>
        <v>N</v>
      </c>
      <c r="AG29" t="str">
        <f t="shared" si="6"/>
        <v>N</v>
      </c>
      <c r="AH29" t="str">
        <f t="shared" si="6"/>
        <v>N</v>
      </c>
      <c r="AI29" t="str">
        <f t="shared" si="6"/>
        <v>N</v>
      </c>
      <c r="AJ29" t="str">
        <f t="shared" si="6"/>
        <v>N</v>
      </c>
      <c r="AK29" t="str">
        <f t="shared" si="6"/>
        <v>N</v>
      </c>
      <c r="AL29" t="str">
        <f t="shared" si="6"/>
        <v>N</v>
      </c>
      <c r="AM29" t="str">
        <f t="shared" si="6"/>
        <v>N</v>
      </c>
      <c r="AN29" t="str">
        <f t="shared" si="6"/>
        <v>N</v>
      </c>
      <c r="AO29" t="str">
        <f t="shared" si="6"/>
        <v>N</v>
      </c>
      <c r="AP29" t="str">
        <f t="shared" si="6"/>
        <v>N</v>
      </c>
      <c r="AQ29" t="str">
        <f t="shared" si="6"/>
        <v>N</v>
      </c>
    </row>
    <row r="30" spans="1:43" x14ac:dyDescent="0.25">
      <c r="A30" t="s">
        <v>15</v>
      </c>
      <c r="B30" s="7">
        <f>B4-B8</f>
        <v>30</v>
      </c>
      <c r="C30" s="7">
        <f t="shared" ref="C30:AQ30" si="7">C4-C8</f>
        <v>27.5</v>
      </c>
      <c r="D30" s="7">
        <f t="shared" si="7"/>
        <v>31.174999999999997</v>
      </c>
      <c r="E30" s="7">
        <f t="shared" si="7"/>
        <v>34.828500000000005</v>
      </c>
      <c r="F30" s="7">
        <f t="shared" si="7"/>
        <v>33.736710000000002</v>
      </c>
      <c r="G30" s="7">
        <f t="shared" si="7"/>
        <v>31.552080000000004</v>
      </c>
      <c r="H30" s="7">
        <f t="shared" si="7"/>
        <v>33.253590300000013</v>
      </c>
      <c r="I30" s="7">
        <f t="shared" si="7"/>
        <v>36.666313635000023</v>
      </c>
      <c r="J30" s="7">
        <f t="shared" si="7"/>
        <v>37.793541403170025</v>
      </c>
      <c r="K30" s="7">
        <f t="shared" si="7"/>
        <v>36.691068900446126</v>
      </c>
      <c r="L30" s="7">
        <f t="shared" si="7"/>
        <v>34.508173345052796</v>
      </c>
      <c r="M30" s="7">
        <f t="shared" si="7"/>
        <v>29.850242701240205</v>
      </c>
      <c r="N30" s="7">
        <f t="shared" si="7"/>
        <v>28.954735420202994</v>
      </c>
      <c r="O30" s="7">
        <f t="shared" si="7"/>
        <v>24.364046092688582</v>
      </c>
      <c r="P30" s="7">
        <f t="shared" si="7"/>
        <v>21.64044409739482</v>
      </c>
      <c r="Q30" s="7">
        <f t="shared" si="7"/>
        <v>21.64044409739482</v>
      </c>
      <c r="R30" s="7">
        <f t="shared" si="7"/>
        <v>22.58696738833855</v>
      </c>
      <c r="S30" s="7">
        <f t="shared" si="7"/>
        <v>20.396610838429226</v>
      </c>
      <c r="T30" s="7">
        <f t="shared" si="7"/>
        <v>24.360689024157864</v>
      </c>
      <c r="U30" s="7">
        <f t="shared" si="7"/>
        <v>20.263767649424125</v>
      </c>
      <c r="V30" s="7">
        <f t="shared" si="7"/>
        <v>22.358880207738082</v>
      </c>
      <c r="W30" s="7">
        <f t="shared" si="7"/>
        <v>19.658595317403993</v>
      </c>
      <c r="X30" s="7">
        <f t="shared" si="7"/>
        <v>16.034652979160384</v>
      </c>
      <c r="Y30" s="7">
        <f t="shared" si="7"/>
        <v>10.636130844939316</v>
      </c>
      <c r="Z30" s="7">
        <f t="shared" si="7"/>
        <v>12.715523180558179</v>
      </c>
      <c r="AA30" s="7">
        <f t="shared" si="7"/>
        <v>11.248665045190705</v>
      </c>
      <c r="AB30" s="7">
        <f t="shared" si="7"/>
        <v>13.711415697473072</v>
      </c>
      <c r="AC30" s="7">
        <f t="shared" si="7"/>
        <v>8.7965652750705488</v>
      </c>
      <c r="AD30" s="7">
        <f t="shared" si="7"/>
        <v>9.6326691215204079</v>
      </c>
      <c r="AE30" s="7">
        <f t="shared" si="7"/>
        <v>8.0735101967648859</v>
      </c>
      <c r="AF30" s="7">
        <f t="shared" si="7"/>
        <v>2.186219653158048</v>
      </c>
      <c r="AG30" s="7">
        <f t="shared" si="7"/>
        <v>0.30093306088905081</v>
      </c>
      <c r="AH30" s="7">
        <f t="shared" si="7"/>
        <v>-2.467428899137488</v>
      </c>
      <c r="AI30" s="7">
        <f t="shared" si="7"/>
        <v>-2.467428899137488</v>
      </c>
      <c r="AJ30" s="7">
        <f t="shared" si="7"/>
        <v>-4.3767552983181446</v>
      </c>
      <c r="AK30" s="7">
        <f t="shared" si="7"/>
        <v>-1.6064925561989725</v>
      </c>
      <c r="AL30" s="7">
        <f t="shared" si="7"/>
        <v>-3.5087396391208046</v>
      </c>
      <c r="AM30" s="7">
        <f t="shared" si="7"/>
        <v>-11.140985186130436</v>
      </c>
      <c r="AN30" s="7">
        <f t="shared" si="7"/>
        <v>-12.379352780227094</v>
      </c>
      <c r="AO30" s="7">
        <f t="shared" si="7"/>
        <v>-9.6126903823780907</v>
      </c>
      <c r="AP30" s="7">
        <f t="shared" si="7"/>
        <v>-10.947085420934712</v>
      </c>
      <c r="AQ30" s="7">
        <f t="shared" si="7"/>
        <v>-19.10257035123746</v>
      </c>
    </row>
    <row r="31" spans="1:43" x14ac:dyDescent="0.25">
      <c r="A31" t="s">
        <v>24</v>
      </c>
      <c r="B31" s="7"/>
      <c r="C31" s="4">
        <f>C30/$B$30-1</f>
        <v>-8.333333333333337E-2</v>
      </c>
      <c r="D31" s="4">
        <f t="shared" ref="D31:AQ31" si="8">D30/$B$30-1</f>
        <v>3.9166666666666572E-2</v>
      </c>
      <c r="E31" s="4">
        <f t="shared" si="8"/>
        <v>0.16095000000000015</v>
      </c>
      <c r="F31" s="4">
        <f t="shared" si="8"/>
        <v>0.12455700000000003</v>
      </c>
      <c r="G31" s="4">
        <f t="shared" si="8"/>
        <v>5.1736000000000226E-2</v>
      </c>
      <c r="H31" s="4">
        <f t="shared" si="8"/>
        <v>0.10845301000000052</v>
      </c>
      <c r="I31" s="4">
        <f t="shared" si="8"/>
        <v>0.22221045450000076</v>
      </c>
      <c r="J31" s="4">
        <f t="shared" si="8"/>
        <v>0.25978471343900078</v>
      </c>
      <c r="K31" s="4">
        <f t="shared" si="8"/>
        <v>0.22303563001487081</v>
      </c>
      <c r="L31" s="4">
        <f t="shared" si="8"/>
        <v>0.15027244483509317</v>
      </c>
      <c r="M31" s="4">
        <f t="shared" si="8"/>
        <v>-4.9919099586598348E-3</v>
      </c>
      <c r="N31" s="4">
        <f t="shared" si="8"/>
        <v>-3.4842152659900205E-2</v>
      </c>
      <c r="O31" s="4">
        <f t="shared" si="8"/>
        <v>-0.18786513024371387</v>
      </c>
      <c r="P31" s="4">
        <f t="shared" si="8"/>
        <v>-0.27865186342017267</v>
      </c>
      <c r="Q31" s="4">
        <f t="shared" si="8"/>
        <v>-0.27865186342017267</v>
      </c>
      <c r="R31" s="4">
        <f t="shared" si="8"/>
        <v>-0.2471010870553817</v>
      </c>
      <c r="S31" s="4">
        <f t="shared" si="8"/>
        <v>-0.32011297205235911</v>
      </c>
      <c r="T31" s="4">
        <f t="shared" si="8"/>
        <v>-0.18797703252807119</v>
      </c>
      <c r="U31" s="4">
        <f t="shared" si="8"/>
        <v>-0.32454107835252921</v>
      </c>
      <c r="V31" s="4">
        <f t="shared" si="8"/>
        <v>-0.25470399307539726</v>
      </c>
      <c r="W31" s="4">
        <f t="shared" si="8"/>
        <v>-0.3447134894198669</v>
      </c>
      <c r="X31" s="4">
        <f t="shared" si="8"/>
        <v>-0.46551156736132049</v>
      </c>
      <c r="Y31" s="4">
        <f t="shared" si="8"/>
        <v>-0.64546230516868941</v>
      </c>
      <c r="Z31" s="4">
        <f t="shared" si="8"/>
        <v>-0.57614922731472729</v>
      </c>
      <c r="AA31" s="4">
        <f t="shared" si="8"/>
        <v>-0.62504449849364319</v>
      </c>
      <c r="AB31" s="4">
        <f t="shared" si="8"/>
        <v>-0.54295281008423091</v>
      </c>
      <c r="AC31" s="4">
        <f t="shared" si="8"/>
        <v>-0.70678115749764836</v>
      </c>
      <c r="AD31" s="4">
        <f t="shared" si="8"/>
        <v>-0.67891102928265301</v>
      </c>
      <c r="AE31" s="4">
        <f t="shared" si="8"/>
        <v>-0.73088299344117047</v>
      </c>
      <c r="AF31" s="4">
        <f t="shared" si="8"/>
        <v>-0.9271260115613984</v>
      </c>
      <c r="AG31" s="4">
        <f t="shared" si="8"/>
        <v>-0.98996889797036502</v>
      </c>
      <c r="AH31" s="4">
        <f t="shared" si="8"/>
        <v>-1.0822476299712496</v>
      </c>
      <c r="AI31" s="4">
        <f t="shared" si="8"/>
        <v>-1.0822476299712496</v>
      </c>
      <c r="AJ31" s="4">
        <f t="shared" si="8"/>
        <v>-1.1458918432772716</v>
      </c>
      <c r="AK31" s="4">
        <f t="shared" si="8"/>
        <v>-1.053549751873299</v>
      </c>
      <c r="AL31" s="4">
        <f t="shared" si="8"/>
        <v>-1.1169579879706935</v>
      </c>
      <c r="AM31" s="4">
        <f t="shared" si="8"/>
        <v>-1.3713661728710145</v>
      </c>
      <c r="AN31" s="4">
        <f t="shared" si="8"/>
        <v>-1.4126450926742364</v>
      </c>
      <c r="AO31" s="4">
        <f t="shared" si="8"/>
        <v>-1.3204230127459364</v>
      </c>
      <c r="AP31" s="4">
        <f t="shared" si="8"/>
        <v>-1.3649028473644904</v>
      </c>
      <c r="AQ31" s="4">
        <f t="shared" si="8"/>
        <v>-1.6367523450412487</v>
      </c>
    </row>
    <row r="32" spans="1:43" x14ac:dyDescent="0.25">
      <c r="A32" t="s">
        <v>16</v>
      </c>
      <c r="C32" t="str">
        <f>IF(C31&lt;$B$17,"Y","N")</f>
        <v>N</v>
      </c>
      <c r="D32" t="str">
        <f t="shared" ref="D32:AQ32" si="9">IF(D31&lt;$B$17,"Y","N")</f>
        <v>N</v>
      </c>
      <c r="E32" t="str">
        <f t="shared" si="9"/>
        <v>N</v>
      </c>
      <c r="F32" t="str">
        <f t="shared" si="9"/>
        <v>N</v>
      </c>
      <c r="G32" t="str">
        <f t="shared" si="9"/>
        <v>N</v>
      </c>
      <c r="H32" t="str">
        <f t="shared" si="9"/>
        <v>N</v>
      </c>
      <c r="I32" t="str">
        <f t="shared" si="9"/>
        <v>N</v>
      </c>
      <c r="J32" t="str">
        <f t="shared" si="9"/>
        <v>N</v>
      </c>
      <c r="K32" t="str">
        <f t="shared" si="9"/>
        <v>N</v>
      </c>
      <c r="L32" t="str">
        <f t="shared" si="9"/>
        <v>N</v>
      </c>
      <c r="M32" t="str">
        <f t="shared" si="9"/>
        <v>N</v>
      </c>
      <c r="N32" t="str">
        <f t="shared" si="9"/>
        <v>N</v>
      </c>
      <c r="O32" t="str">
        <f t="shared" si="9"/>
        <v>N</v>
      </c>
      <c r="P32" t="str">
        <f t="shared" si="9"/>
        <v>N</v>
      </c>
      <c r="Q32" t="str">
        <f t="shared" si="9"/>
        <v>N</v>
      </c>
      <c r="R32" t="str">
        <f t="shared" si="9"/>
        <v>N</v>
      </c>
      <c r="S32" t="str">
        <f t="shared" si="9"/>
        <v>N</v>
      </c>
      <c r="T32" t="str">
        <f t="shared" si="9"/>
        <v>N</v>
      </c>
      <c r="U32" t="str">
        <f t="shared" si="9"/>
        <v>N</v>
      </c>
      <c r="V32" t="str">
        <f t="shared" si="9"/>
        <v>N</v>
      </c>
      <c r="W32" t="str">
        <f t="shared" si="9"/>
        <v>N</v>
      </c>
      <c r="X32" t="str">
        <f t="shared" si="9"/>
        <v>N</v>
      </c>
      <c r="Y32" t="str">
        <f t="shared" si="9"/>
        <v>Y</v>
      </c>
      <c r="Z32" t="str">
        <f t="shared" si="9"/>
        <v>Y</v>
      </c>
      <c r="AA32" t="str">
        <f t="shared" si="9"/>
        <v>Y</v>
      </c>
      <c r="AB32" t="str">
        <f t="shared" si="9"/>
        <v>Y</v>
      </c>
      <c r="AC32" t="str">
        <f t="shared" si="9"/>
        <v>Y</v>
      </c>
      <c r="AD32" t="str">
        <f t="shared" si="9"/>
        <v>Y</v>
      </c>
      <c r="AE32" t="str">
        <f t="shared" si="9"/>
        <v>Y</v>
      </c>
      <c r="AF32" t="str">
        <f t="shared" si="9"/>
        <v>Y</v>
      </c>
      <c r="AG32" t="str">
        <f t="shared" si="9"/>
        <v>Y</v>
      </c>
      <c r="AH32" t="str">
        <f t="shared" si="9"/>
        <v>Y</v>
      </c>
      <c r="AI32" t="str">
        <f t="shared" si="9"/>
        <v>Y</v>
      </c>
      <c r="AJ32" t="str">
        <f t="shared" si="9"/>
        <v>Y</v>
      </c>
      <c r="AK32" t="str">
        <f t="shared" si="9"/>
        <v>Y</v>
      </c>
      <c r="AL32" t="str">
        <f t="shared" si="9"/>
        <v>Y</v>
      </c>
      <c r="AM32" t="str">
        <f t="shared" si="9"/>
        <v>Y</v>
      </c>
      <c r="AN32" t="str">
        <f t="shared" si="9"/>
        <v>Y</v>
      </c>
      <c r="AO32" t="str">
        <f t="shared" si="9"/>
        <v>Y</v>
      </c>
      <c r="AP32" t="str">
        <f t="shared" si="9"/>
        <v>Y</v>
      </c>
      <c r="AQ32" t="str">
        <f t="shared" si="9"/>
        <v>Y</v>
      </c>
    </row>
    <row r="33" spans="1:43" x14ac:dyDescent="0.25">
      <c r="A33" t="s">
        <v>17</v>
      </c>
      <c r="B33" t="str">
        <f>IF(B30&lt;$B$21,"Y","N")</f>
        <v>N</v>
      </c>
      <c r="C33" t="str">
        <f t="shared" ref="C33:AQ33" si="10">IF(C30&lt;$B$21,"Y","N")</f>
        <v>N</v>
      </c>
      <c r="D33" t="str">
        <f t="shared" si="10"/>
        <v>N</v>
      </c>
      <c r="E33" t="str">
        <f t="shared" si="10"/>
        <v>N</v>
      </c>
      <c r="F33" t="str">
        <f t="shared" si="10"/>
        <v>N</v>
      </c>
      <c r="G33" t="str">
        <f t="shared" si="10"/>
        <v>N</v>
      </c>
      <c r="H33" t="str">
        <f t="shared" si="10"/>
        <v>N</v>
      </c>
      <c r="I33" t="str">
        <f t="shared" si="10"/>
        <v>N</v>
      </c>
      <c r="J33" t="str">
        <f t="shared" si="10"/>
        <v>N</v>
      </c>
      <c r="K33" t="str">
        <f t="shared" si="10"/>
        <v>N</v>
      </c>
      <c r="L33" t="str">
        <f t="shared" si="10"/>
        <v>N</v>
      </c>
      <c r="M33" t="str">
        <f t="shared" si="10"/>
        <v>N</v>
      </c>
      <c r="N33" t="str">
        <f t="shared" si="10"/>
        <v>N</v>
      </c>
      <c r="O33" t="str">
        <f t="shared" si="10"/>
        <v>N</v>
      </c>
      <c r="P33" t="str">
        <f t="shared" si="10"/>
        <v>N</v>
      </c>
      <c r="Q33" t="str">
        <f t="shared" si="10"/>
        <v>N</v>
      </c>
      <c r="R33" t="str">
        <f t="shared" si="10"/>
        <v>N</v>
      </c>
      <c r="S33" t="str">
        <f t="shared" si="10"/>
        <v>N</v>
      </c>
      <c r="T33" t="str">
        <f t="shared" si="10"/>
        <v>N</v>
      </c>
      <c r="U33" t="str">
        <f t="shared" si="10"/>
        <v>N</v>
      </c>
      <c r="V33" t="str">
        <f t="shared" si="10"/>
        <v>N</v>
      </c>
      <c r="W33" t="str">
        <f t="shared" si="10"/>
        <v>N</v>
      </c>
      <c r="X33" t="str">
        <f t="shared" si="10"/>
        <v>N</v>
      </c>
      <c r="Y33" t="str">
        <f t="shared" si="10"/>
        <v>N</v>
      </c>
      <c r="Z33" t="str">
        <f t="shared" si="10"/>
        <v>N</v>
      </c>
      <c r="AA33" t="str">
        <f t="shared" si="10"/>
        <v>N</v>
      </c>
      <c r="AB33" t="str">
        <f t="shared" si="10"/>
        <v>N</v>
      </c>
      <c r="AC33" t="str">
        <f t="shared" si="10"/>
        <v>N</v>
      </c>
      <c r="AD33" t="str">
        <f t="shared" si="10"/>
        <v>N</v>
      </c>
      <c r="AE33" t="str">
        <f t="shared" si="10"/>
        <v>N</v>
      </c>
      <c r="AF33" t="str">
        <f t="shared" si="10"/>
        <v>N</v>
      </c>
      <c r="AG33" t="str">
        <f t="shared" si="10"/>
        <v>N</v>
      </c>
      <c r="AH33" t="str">
        <f t="shared" si="10"/>
        <v>Y</v>
      </c>
      <c r="AI33" t="str">
        <f t="shared" si="10"/>
        <v>Y</v>
      </c>
      <c r="AJ33" t="str">
        <f t="shared" si="10"/>
        <v>Y</v>
      </c>
      <c r="AK33" t="str">
        <f t="shared" si="10"/>
        <v>Y</v>
      </c>
      <c r="AL33" t="str">
        <f t="shared" si="10"/>
        <v>Y</v>
      </c>
      <c r="AM33" t="str">
        <f t="shared" si="10"/>
        <v>Y</v>
      </c>
      <c r="AN33" t="str">
        <f t="shared" si="10"/>
        <v>Y</v>
      </c>
      <c r="AO33" t="str">
        <f t="shared" si="10"/>
        <v>Y</v>
      </c>
      <c r="AP33" t="str">
        <f t="shared" si="10"/>
        <v>Y</v>
      </c>
      <c r="AQ33" t="str">
        <f t="shared" si="10"/>
        <v>Y</v>
      </c>
    </row>
    <row r="34" spans="1:43" x14ac:dyDescent="0.25">
      <c r="A34" t="s">
        <v>18</v>
      </c>
      <c r="B34" s="7">
        <f>0.9*B4-1.2*B8</f>
        <v>6</v>
      </c>
      <c r="C34" s="7">
        <f t="shared" ref="C34:AP34" si="11">0.9*C4-1.2*C8</f>
        <v>2.7000000000000028</v>
      </c>
      <c r="D34" s="7">
        <f t="shared" si="11"/>
        <v>7.1099999999999994</v>
      </c>
      <c r="E34" s="7">
        <f t="shared" si="11"/>
        <v>9.9792000000000058</v>
      </c>
      <c r="F34" s="7">
        <f t="shared" si="11"/>
        <v>7.7146020000000135</v>
      </c>
      <c r="G34" s="7">
        <f t="shared" si="11"/>
        <v>5.7484350000000148</v>
      </c>
      <c r="H34" s="7">
        <f t="shared" si="11"/>
        <v>6.826825530000022</v>
      </c>
      <c r="I34" s="7">
        <f t="shared" si="11"/>
        <v>10.591318703700026</v>
      </c>
      <c r="J34" s="7">
        <f t="shared" si="11"/>
        <v>12.278074602087031</v>
      </c>
      <c r="K34" s="7">
        <f t="shared" si="11"/>
        <v>11.285849349635527</v>
      </c>
      <c r="L34" s="7">
        <f t="shared" si="11"/>
        <v>9.3212433497815255</v>
      </c>
      <c r="M34" s="7">
        <f t="shared" si="11"/>
        <v>4.6943835171348667</v>
      </c>
      <c r="N34" s="7">
        <f t="shared" si="11"/>
        <v>4.5535520116208232</v>
      </c>
      <c r="O34" s="7">
        <f t="shared" si="11"/>
        <v>-0.65335387647024845</v>
      </c>
      <c r="P34" s="7">
        <f t="shared" si="11"/>
        <v>-2.4271658114379306</v>
      </c>
      <c r="Q34" s="7">
        <f t="shared" si="11"/>
        <v>-2.4271658114379306</v>
      </c>
      <c r="R34" s="7">
        <f t="shared" si="11"/>
        <v>-1.5752948495885732</v>
      </c>
      <c r="S34" s="7">
        <f t="shared" si="11"/>
        <v>-4.2037227094797629</v>
      </c>
      <c r="T34" s="7">
        <f t="shared" si="11"/>
        <v>0.26637455623864525</v>
      </c>
      <c r="U34" s="7">
        <f t="shared" si="11"/>
        <v>-4.0706020479868101</v>
      </c>
      <c r="V34" s="7">
        <f t="shared" si="11"/>
        <v>-2.4080806748289376</v>
      </c>
      <c r="W34" s="7">
        <f t="shared" si="11"/>
        <v>-5.0636478047475464</v>
      </c>
      <c r="X34" s="7">
        <f t="shared" si="11"/>
        <v>-8.5527597450709152</v>
      </c>
      <c r="Y34" s="7">
        <f t="shared" si="11"/>
        <v>-13.641269140133033</v>
      </c>
      <c r="Z34" s="7">
        <f t="shared" si="11"/>
        <v>-12.466229645093406</v>
      </c>
      <c r="AA34" s="7">
        <f t="shared" si="11"/>
        <v>-14.503707982151994</v>
      </c>
      <c r="AB34" s="7">
        <f t="shared" si="11"/>
        <v>-11.548407199413163</v>
      </c>
      <c r="AC34" s="7">
        <f t="shared" si="11"/>
        <v>-17.166206645932391</v>
      </c>
      <c r="AD34" s="7">
        <f t="shared" si="11"/>
        <v>-16.162882030192563</v>
      </c>
      <c r="AE34" s="7">
        <f t="shared" si="11"/>
        <v>-18.31109358965935</v>
      </c>
      <c r="AF34" s="7">
        <f t="shared" si="11"/>
        <v>-25.655835300245329</v>
      </c>
      <c r="AG34" s="7">
        <f t="shared" si="11"/>
        <v>-27.352593233287422</v>
      </c>
      <c r="AH34" s="7">
        <f t="shared" si="11"/>
        <v>-30.120353327192177</v>
      </c>
      <c r="AI34" s="7">
        <f t="shared" si="11"/>
        <v>-30.120353327192177</v>
      </c>
      <c r="AJ34" s="7">
        <f t="shared" si="11"/>
        <v>-32.954733779173509</v>
      </c>
      <c r="AK34" s="7">
        <f t="shared" si="11"/>
        <v>-30.461497311266257</v>
      </c>
      <c r="AL34" s="7">
        <f t="shared" si="11"/>
        <v>-32.173519685895911</v>
      </c>
      <c r="AM34" s="7">
        <f t="shared" si="11"/>
        <v>-40.493323378738936</v>
      </c>
      <c r="AN34" s="7">
        <f t="shared" si="11"/>
        <v>-42.521847314762582</v>
      </c>
      <c r="AO34" s="7">
        <f t="shared" si="11"/>
        <v>-40.03185115669848</v>
      </c>
      <c r="AP34" s="7">
        <f t="shared" si="11"/>
        <v>-42.488023883901761</v>
      </c>
      <c r="AQ34" s="7">
        <f>0.9*AQ4-1.2*AQ8</f>
        <v>-50.807029731326054</v>
      </c>
    </row>
    <row r="36" spans="1:43" x14ac:dyDescent="0.25">
      <c r="A36" s="10"/>
      <c r="B36" s="11">
        <v>44926</v>
      </c>
      <c r="C36" s="11">
        <v>44929</v>
      </c>
      <c r="D36" s="11">
        <v>44930</v>
      </c>
      <c r="E36" s="11">
        <v>44931</v>
      </c>
      <c r="F36" s="11">
        <v>44932</v>
      </c>
      <c r="G36" s="11">
        <v>44935</v>
      </c>
      <c r="H36" s="11">
        <v>44936</v>
      </c>
      <c r="I36" s="11">
        <v>44937</v>
      </c>
      <c r="J36" s="11">
        <v>44938</v>
      </c>
      <c r="K36" s="11">
        <v>44939</v>
      </c>
      <c r="L36" s="11">
        <v>44942</v>
      </c>
      <c r="M36" s="11">
        <v>44943</v>
      </c>
      <c r="N36" s="11">
        <v>44944</v>
      </c>
      <c r="O36" s="11">
        <v>44945</v>
      </c>
      <c r="P36" s="11">
        <v>44946</v>
      </c>
      <c r="Q36" s="11">
        <v>44949</v>
      </c>
      <c r="R36" s="11">
        <v>44950</v>
      </c>
      <c r="S36" s="11">
        <v>44951</v>
      </c>
      <c r="T36" s="11">
        <v>44952</v>
      </c>
      <c r="U36" s="11">
        <v>44953</v>
      </c>
      <c r="V36" s="11">
        <v>44956</v>
      </c>
      <c r="W36" s="11">
        <v>44957</v>
      </c>
      <c r="X36" s="11">
        <v>44958</v>
      </c>
      <c r="Y36" s="11">
        <v>44959</v>
      </c>
      <c r="Z36" s="11">
        <v>44960</v>
      </c>
      <c r="AA36" s="11">
        <v>44963</v>
      </c>
      <c r="AB36" s="11">
        <v>44964</v>
      </c>
      <c r="AC36" s="11">
        <v>44965</v>
      </c>
      <c r="AD36" s="11">
        <v>44966</v>
      </c>
      <c r="AE36" s="11">
        <v>44967</v>
      </c>
      <c r="AF36" s="11">
        <v>44970</v>
      </c>
      <c r="AG36" s="11">
        <v>44971</v>
      </c>
      <c r="AH36" s="11">
        <v>44972</v>
      </c>
      <c r="AI36" s="11">
        <v>44973</v>
      </c>
      <c r="AJ36" s="11">
        <v>44974</v>
      </c>
      <c r="AK36" s="11">
        <v>44977</v>
      </c>
      <c r="AL36" s="11">
        <v>44978</v>
      </c>
      <c r="AM36" s="11">
        <v>44979</v>
      </c>
      <c r="AN36" s="11">
        <v>44980</v>
      </c>
      <c r="AO36" s="11">
        <v>44981</v>
      </c>
      <c r="AP36" s="11">
        <v>44984</v>
      </c>
      <c r="AQ36" s="11">
        <v>44985</v>
      </c>
    </row>
    <row r="37" spans="1:43" x14ac:dyDescent="0.25">
      <c r="A37" t="s">
        <v>25</v>
      </c>
      <c r="C37" s="4">
        <f>C5/B5-1</f>
        <v>-1.0000000000000009E-2</v>
      </c>
      <c r="D37" s="4">
        <f t="shared" ref="D37:AQ37" si="12">D5/C5-1</f>
        <v>-2.0000000000000018E-2</v>
      </c>
      <c r="E37" s="4">
        <f t="shared" si="12"/>
        <v>5.0000000000000044E-2</v>
      </c>
      <c r="F37" s="4">
        <f t="shared" si="12"/>
        <v>-2.0000000000000018E-2</v>
      </c>
      <c r="G37" s="4">
        <f t="shared" si="12"/>
        <v>1.0000000000000009E-2</v>
      </c>
      <c r="H37" s="4">
        <f t="shared" si="12"/>
        <v>1.0000000000000009E-2</v>
      </c>
      <c r="I37" s="4">
        <f t="shared" si="12"/>
        <v>-1.0000000000000009E-2</v>
      </c>
      <c r="J37" s="4">
        <f t="shared" si="12"/>
        <v>4.0000000000000036E-2</v>
      </c>
      <c r="K37" s="4">
        <f t="shared" si="12"/>
        <v>-3.0000000000000027E-2</v>
      </c>
      <c r="L37" s="4">
        <f t="shared" si="12"/>
        <v>-2.0000000000000018E-2</v>
      </c>
      <c r="M37" s="4">
        <f t="shared" si="12"/>
        <v>1.0000000000000009E-2</v>
      </c>
      <c r="N37" s="4">
        <f t="shared" si="12"/>
        <v>-3.0000000000000027E-2</v>
      </c>
      <c r="O37" s="4">
        <f t="shared" si="12"/>
        <v>-2.0000000000000018E-2</v>
      </c>
      <c r="P37" s="4">
        <f t="shared" si="12"/>
        <v>-2.0000000000000018E-2</v>
      </c>
      <c r="Q37" s="4">
        <f t="shared" si="12"/>
        <v>3.0000000000000027E-2</v>
      </c>
      <c r="R37" s="4">
        <f t="shared" si="12"/>
        <v>-3.9999999999999925E-2</v>
      </c>
      <c r="S37" s="4">
        <f t="shared" si="12"/>
        <v>2.0000000000000018E-2</v>
      </c>
      <c r="T37" s="4">
        <f t="shared" si="12"/>
        <v>0</v>
      </c>
      <c r="U37" s="4">
        <f t="shared" si="12"/>
        <v>-1.0000000000000009E-2</v>
      </c>
      <c r="V37" s="4">
        <f t="shared" si="12"/>
        <v>3.0000000000000027E-2</v>
      </c>
      <c r="W37" s="4">
        <f t="shared" si="12"/>
        <v>1.0000000000000009E-2</v>
      </c>
      <c r="X37" s="4">
        <f t="shared" si="12"/>
        <v>-3.0000000000000138E-2</v>
      </c>
      <c r="Y37" s="4">
        <f t="shared" si="12"/>
        <v>-3.0000000000000138E-2</v>
      </c>
      <c r="Z37" s="4">
        <f t="shared" si="12"/>
        <v>-1.0000000000000009E-2</v>
      </c>
      <c r="AA37" s="4">
        <f t="shared" si="12"/>
        <v>3.0000000000000027E-2</v>
      </c>
      <c r="AB37" s="4">
        <f t="shared" si="12"/>
        <v>-1.0000000000000009E-2</v>
      </c>
      <c r="AC37" s="4">
        <f t="shared" si="12"/>
        <v>0</v>
      </c>
      <c r="AD37" s="4">
        <f t="shared" si="12"/>
        <v>2.0000000000000018E-2</v>
      </c>
      <c r="AE37" s="4">
        <f t="shared" si="12"/>
        <v>-3.0000000000000027E-2</v>
      </c>
      <c r="AF37" s="4">
        <f t="shared" si="12"/>
        <v>0</v>
      </c>
      <c r="AG37" s="4">
        <f t="shared" si="12"/>
        <v>-3.0000000000000138E-2</v>
      </c>
      <c r="AH37" s="4">
        <f t="shared" si="12"/>
        <v>2.0000000000000018E-2</v>
      </c>
      <c r="AI37" s="4">
        <f t="shared" si="12"/>
        <v>-3.0000000000000027E-2</v>
      </c>
      <c r="AJ37" s="4">
        <f t="shared" si="12"/>
        <v>0</v>
      </c>
      <c r="AK37" s="4">
        <f t="shared" si="12"/>
        <v>3.0000000000000027E-2</v>
      </c>
      <c r="AL37" s="4">
        <f t="shared" si="12"/>
        <v>0</v>
      </c>
      <c r="AM37" s="4">
        <f t="shared" si="12"/>
        <v>3.0000000000000027E-2</v>
      </c>
      <c r="AN37" s="4">
        <f t="shared" si="12"/>
        <v>0</v>
      </c>
      <c r="AO37" s="4">
        <f t="shared" si="12"/>
        <v>-2.0000000000000018E-2</v>
      </c>
      <c r="AP37" s="4">
        <f t="shared" si="12"/>
        <v>-2.0000000000000129E-2</v>
      </c>
      <c r="AQ37" s="4">
        <f t="shared" si="12"/>
        <v>-3.9999999999999925E-2</v>
      </c>
    </row>
    <row r="38" spans="1:43" x14ac:dyDescent="0.25">
      <c r="A38" t="s">
        <v>26</v>
      </c>
      <c r="C38" s="4">
        <f>C9/B9-1</f>
        <v>-4.0000000000000036E-2</v>
      </c>
      <c r="D38" s="4">
        <f t="shared" ref="D38:AQ38" si="13">D9/C9-1</f>
        <v>3.0000000000000027E-2</v>
      </c>
      <c r="E38" s="4">
        <f t="shared" si="13"/>
        <v>2.0000000000000018E-2</v>
      </c>
      <c r="F38" s="4">
        <f t="shared" si="13"/>
        <v>-1.0000000000000009E-2</v>
      </c>
      <c r="G38" s="4">
        <f t="shared" si="13"/>
        <v>3.0000000000000027E-2</v>
      </c>
      <c r="H38" s="4">
        <f t="shared" si="13"/>
        <v>3.0000000000000027E-2</v>
      </c>
      <c r="I38" s="4">
        <f t="shared" si="13"/>
        <v>3.0000000000000027E-2</v>
      </c>
      <c r="J38" s="4">
        <f t="shared" si="13"/>
        <v>1.0000000000000009E-2</v>
      </c>
      <c r="K38" s="4">
        <f t="shared" si="13"/>
        <v>-1.0000000000000009E-2</v>
      </c>
      <c r="L38" s="4">
        <f t="shared" si="13"/>
        <v>1.0000000000000009E-2</v>
      </c>
      <c r="M38" s="4">
        <f t="shared" si="13"/>
        <v>6.0000000000000053E-2</v>
      </c>
      <c r="N38" s="4">
        <f t="shared" si="13"/>
        <v>0</v>
      </c>
      <c r="O38" s="4">
        <f t="shared" si="13"/>
        <v>-3.0000000000000027E-2</v>
      </c>
      <c r="P38" s="4">
        <f t="shared" si="13"/>
        <v>-4.0000000000000036E-2</v>
      </c>
      <c r="Q38" s="4">
        <f t="shared" si="13"/>
        <v>2.0000000000000018E-2</v>
      </c>
      <c r="R38" s="4">
        <f t="shared" si="13"/>
        <v>-1.0000000000000009E-2</v>
      </c>
      <c r="S38" s="4">
        <f t="shared" si="13"/>
        <v>0</v>
      </c>
      <c r="T38" s="4">
        <f t="shared" si="13"/>
        <v>-1.0000000000000009E-2</v>
      </c>
      <c r="U38" s="4">
        <f t="shared" si="13"/>
        <v>1.0000000000000009E-2</v>
      </c>
      <c r="V38" s="4">
        <f t="shared" si="13"/>
        <v>3.0000000000000027E-2</v>
      </c>
      <c r="W38" s="4">
        <f t="shared" si="13"/>
        <v>-9.9999999999998979E-3</v>
      </c>
      <c r="X38" s="4">
        <f t="shared" si="13"/>
        <v>-3.0000000000000027E-2</v>
      </c>
      <c r="Y38" s="4">
        <f t="shared" si="13"/>
        <v>-1.0000000000000009E-2</v>
      </c>
      <c r="Z38" s="4">
        <f t="shared" si="13"/>
        <v>1.0000000000000009E-2</v>
      </c>
      <c r="AA38" s="4">
        <f t="shared" si="13"/>
        <v>2.0000000000000018E-2</v>
      </c>
      <c r="AB38" s="4">
        <f t="shared" si="13"/>
        <v>0</v>
      </c>
      <c r="AC38" s="4">
        <f t="shared" si="13"/>
        <v>0</v>
      </c>
      <c r="AD38" s="4">
        <f t="shared" si="13"/>
        <v>2.0000000000000018E-2</v>
      </c>
      <c r="AE38" s="4">
        <f t="shared" si="13"/>
        <v>2.0000000000000018E-2</v>
      </c>
      <c r="AF38" s="4">
        <f t="shared" si="13"/>
        <v>6.0000000000000053E-2</v>
      </c>
      <c r="AG38" s="4">
        <f t="shared" si="13"/>
        <v>0</v>
      </c>
      <c r="AH38" s="4">
        <f t="shared" si="13"/>
        <v>2.0000000000000018E-2</v>
      </c>
      <c r="AI38" s="4">
        <f t="shared" si="13"/>
        <v>-1.0000000000000009E-2</v>
      </c>
      <c r="AJ38" s="4">
        <f t="shared" si="13"/>
        <v>8.0000000000000071E-2</v>
      </c>
      <c r="AK38" s="4">
        <f t="shared" si="13"/>
        <v>-3.0000000000000138E-2</v>
      </c>
      <c r="AL38" s="4">
        <f t="shared" si="13"/>
        <v>6.0000000000000053E-2</v>
      </c>
      <c r="AM38" s="4">
        <f t="shared" si="13"/>
        <v>0</v>
      </c>
      <c r="AN38" s="4">
        <f t="shared" si="13"/>
        <v>1.0000000000000009E-2</v>
      </c>
      <c r="AO38" s="4">
        <f t="shared" si="13"/>
        <v>1.0000000000000009E-2</v>
      </c>
      <c r="AP38" s="4">
        <f t="shared" si="13"/>
        <v>-1.0000000000000009E-2</v>
      </c>
      <c r="AQ38" s="4">
        <f t="shared" si="13"/>
        <v>-3.9999999999999925E-2</v>
      </c>
    </row>
    <row r="39" spans="1:43" x14ac:dyDescent="0.25">
      <c r="A39" t="s">
        <v>27</v>
      </c>
      <c r="C39" s="4">
        <f>C5/$B$5-1</f>
        <v>-1.0000000000000009E-2</v>
      </c>
      <c r="D39" s="4">
        <f t="shared" ref="D39:AQ39" si="14">D5/$B$5-1</f>
        <v>-2.9800000000000049E-2</v>
      </c>
      <c r="E39" s="4">
        <f t="shared" si="14"/>
        <v>1.8710000000000004E-2</v>
      </c>
      <c r="F39" s="4">
        <f t="shared" si="14"/>
        <v>-1.6642000000000046E-3</v>
      </c>
      <c r="G39" s="4">
        <f t="shared" si="14"/>
        <v>8.3191579999999377E-3</v>
      </c>
      <c r="H39" s="4">
        <f t="shared" si="14"/>
        <v>1.8402349580000088E-2</v>
      </c>
      <c r="I39" s="4">
        <f t="shared" si="14"/>
        <v>8.2183260842001449E-3</v>
      </c>
      <c r="J39" s="4">
        <f t="shared" si="14"/>
        <v>4.8547059127568071E-2</v>
      </c>
      <c r="K39" s="4">
        <f t="shared" si="14"/>
        <v>1.7090647353740884E-2</v>
      </c>
      <c r="L39" s="4">
        <f t="shared" si="14"/>
        <v>-3.2511655933338268E-3</v>
      </c>
      <c r="M39" s="4">
        <f t="shared" si="14"/>
        <v>6.7163227507329726E-3</v>
      </c>
      <c r="N39" s="4">
        <f t="shared" si="14"/>
        <v>-2.3485166931789037E-2</v>
      </c>
      <c r="O39" s="4">
        <f t="shared" si="14"/>
        <v>-4.3015463593153336E-2</v>
      </c>
      <c r="P39" s="4">
        <f t="shared" si="14"/>
        <v>-6.2155154321290262E-2</v>
      </c>
      <c r="Q39" s="4">
        <f t="shared" si="14"/>
        <v>-3.4019808950928931E-2</v>
      </c>
      <c r="R39" s="4">
        <f t="shared" si="14"/>
        <v>-7.2659016592891756E-2</v>
      </c>
      <c r="S39" s="4">
        <f t="shared" si="14"/>
        <v>-5.4112196924749556E-2</v>
      </c>
      <c r="T39" s="4">
        <f t="shared" si="14"/>
        <v>-5.4112196924749556E-2</v>
      </c>
      <c r="U39" s="4">
        <f t="shared" si="14"/>
        <v>-6.3571074955502072E-2</v>
      </c>
      <c r="V39" s="4">
        <f t="shared" si="14"/>
        <v>-3.5478207204167056E-2</v>
      </c>
      <c r="W39" s="4">
        <f t="shared" si="14"/>
        <v>-2.5832989276208695E-2</v>
      </c>
      <c r="X39" s="4">
        <f t="shared" si="14"/>
        <v>-5.5057999597922569E-2</v>
      </c>
      <c r="Y39" s="4">
        <f t="shared" si="14"/>
        <v>-8.3406259609984934E-2</v>
      </c>
      <c r="Z39" s="4">
        <f t="shared" si="14"/>
        <v>-9.2572197013885082E-2</v>
      </c>
      <c r="AA39" s="4">
        <f t="shared" si="14"/>
        <v>-6.5349362924301713E-2</v>
      </c>
      <c r="AB39" s="4">
        <f t="shared" si="14"/>
        <v>-7.469586929505867E-2</v>
      </c>
      <c r="AC39" s="4">
        <f t="shared" si="14"/>
        <v>-7.469586929505867E-2</v>
      </c>
      <c r="AD39" s="4">
        <f t="shared" si="14"/>
        <v>-5.6189786680959863E-2</v>
      </c>
      <c r="AE39" s="4">
        <f t="shared" si="14"/>
        <v>-8.4504093080531084E-2</v>
      </c>
      <c r="AF39" s="4">
        <f t="shared" si="14"/>
        <v>-8.4504093080531084E-2</v>
      </c>
      <c r="AG39" s="4">
        <f t="shared" si="14"/>
        <v>-0.11196897028811525</v>
      </c>
      <c r="AH39" s="4">
        <f t="shared" si="14"/>
        <v>-9.4208349693877591E-2</v>
      </c>
      <c r="AI39" s="4">
        <f t="shared" si="14"/>
        <v>-0.12138209920306131</v>
      </c>
      <c r="AJ39" s="4">
        <f t="shared" si="14"/>
        <v>-0.12138209920306131</v>
      </c>
      <c r="AK39" s="4">
        <f t="shared" si="14"/>
        <v>-9.5023562179153087E-2</v>
      </c>
      <c r="AL39" s="4">
        <f t="shared" si="14"/>
        <v>-9.5023562179153087E-2</v>
      </c>
      <c r="AM39" s="4">
        <f t="shared" si="14"/>
        <v>-6.7874269044527646E-2</v>
      </c>
      <c r="AN39" s="4">
        <f t="shared" si="14"/>
        <v>-6.7874269044527646E-2</v>
      </c>
      <c r="AO39" s="4">
        <f t="shared" si="14"/>
        <v>-8.6516783663637131E-2</v>
      </c>
      <c r="AP39" s="4">
        <f t="shared" si="14"/>
        <v>-0.10478644799036452</v>
      </c>
      <c r="AQ39" s="4">
        <f t="shared" si="14"/>
        <v>-0.14059499007074994</v>
      </c>
    </row>
    <row r="40" spans="1:43" x14ac:dyDescent="0.25">
      <c r="A40" t="s">
        <v>28</v>
      </c>
      <c r="C40" s="4" t="str">
        <f>IF(C37&lt;$B$14,"Y","N")</f>
        <v>N</v>
      </c>
      <c r="D40" s="4" t="str">
        <f t="shared" ref="D40:AQ40" si="15">IF(D37&lt;$B$14,"Y","N")</f>
        <v>N</v>
      </c>
      <c r="E40" s="4" t="str">
        <f t="shared" si="15"/>
        <v>N</v>
      </c>
      <c r="F40" s="4" t="str">
        <f t="shared" si="15"/>
        <v>N</v>
      </c>
      <c r="G40" s="4" t="str">
        <f t="shared" si="15"/>
        <v>N</v>
      </c>
      <c r="H40" s="4" t="str">
        <f t="shared" si="15"/>
        <v>N</v>
      </c>
      <c r="I40" s="4" t="str">
        <f t="shared" si="15"/>
        <v>N</v>
      </c>
      <c r="J40" s="4" t="str">
        <f t="shared" si="15"/>
        <v>N</v>
      </c>
      <c r="K40" s="4" t="str">
        <f t="shared" si="15"/>
        <v>N</v>
      </c>
      <c r="L40" s="4" t="str">
        <f t="shared" si="15"/>
        <v>N</v>
      </c>
      <c r="M40" s="4" t="str">
        <f t="shared" si="15"/>
        <v>N</v>
      </c>
      <c r="N40" s="4" t="str">
        <f t="shared" si="15"/>
        <v>N</v>
      </c>
      <c r="O40" s="4" t="str">
        <f t="shared" si="15"/>
        <v>N</v>
      </c>
      <c r="P40" s="4" t="str">
        <f t="shared" si="15"/>
        <v>N</v>
      </c>
      <c r="Q40" s="4" t="str">
        <f t="shared" si="15"/>
        <v>N</v>
      </c>
      <c r="R40" s="4" t="str">
        <f t="shared" si="15"/>
        <v>Y</v>
      </c>
      <c r="S40" s="4" t="str">
        <f t="shared" si="15"/>
        <v>N</v>
      </c>
      <c r="T40" s="4" t="str">
        <f t="shared" si="15"/>
        <v>N</v>
      </c>
      <c r="U40" s="4" t="str">
        <f t="shared" si="15"/>
        <v>N</v>
      </c>
      <c r="V40" s="4" t="str">
        <f t="shared" si="15"/>
        <v>N</v>
      </c>
      <c r="W40" s="4" t="str">
        <f t="shared" si="15"/>
        <v>N</v>
      </c>
      <c r="X40" s="4" t="str">
        <f t="shared" si="15"/>
        <v>Y</v>
      </c>
      <c r="Y40" s="4" t="str">
        <f t="shared" si="15"/>
        <v>Y</v>
      </c>
      <c r="Z40" s="4" t="str">
        <f t="shared" si="15"/>
        <v>N</v>
      </c>
      <c r="AA40" s="4" t="str">
        <f t="shared" si="15"/>
        <v>N</v>
      </c>
      <c r="AB40" s="4" t="str">
        <f t="shared" si="15"/>
        <v>N</v>
      </c>
      <c r="AC40" s="4" t="str">
        <f t="shared" si="15"/>
        <v>N</v>
      </c>
      <c r="AD40" s="4" t="str">
        <f t="shared" si="15"/>
        <v>N</v>
      </c>
      <c r="AE40" s="4" t="str">
        <f t="shared" si="15"/>
        <v>N</v>
      </c>
      <c r="AF40" s="4" t="str">
        <f t="shared" si="15"/>
        <v>N</v>
      </c>
      <c r="AG40" s="4" t="str">
        <f t="shared" si="15"/>
        <v>Y</v>
      </c>
      <c r="AH40" s="4" t="str">
        <f t="shared" si="15"/>
        <v>N</v>
      </c>
      <c r="AI40" s="4" t="str">
        <f t="shared" si="15"/>
        <v>N</v>
      </c>
      <c r="AJ40" s="4" t="str">
        <f t="shared" si="15"/>
        <v>N</v>
      </c>
      <c r="AK40" s="4" t="str">
        <f t="shared" si="15"/>
        <v>N</v>
      </c>
      <c r="AL40" s="4" t="str">
        <f t="shared" si="15"/>
        <v>N</v>
      </c>
      <c r="AM40" s="4" t="str">
        <f t="shared" si="15"/>
        <v>N</v>
      </c>
      <c r="AN40" s="4" t="str">
        <f t="shared" si="15"/>
        <v>N</v>
      </c>
      <c r="AO40" s="4" t="str">
        <f t="shared" si="15"/>
        <v>N</v>
      </c>
      <c r="AP40" s="4" t="str">
        <f t="shared" si="15"/>
        <v>N</v>
      </c>
      <c r="AQ40" s="4" t="str">
        <f t="shared" si="15"/>
        <v>Y</v>
      </c>
    </row>
    <row r="41" spans="1:43" x14ac:dyDescent="0.25">
      <c r="A41" t="s">
        <v>29</v>
      </c>
      <c r="C41" t="str">
        <f>IF(C38&gt;$B$15,"Y","N")</f>
        <v>N</v>
      </c>
      <c r="D41" t="str">
        <f t="shared" ref="D41:AQ41" si="16">IF(D38&gt;$B$15,"Y","N")</f>
        <v>N</v>
      </c>
      <c r="E41" t="str">
        <f t="shared" si="16"/>
        <v>N</v>
      </c>
      <c r="F41" t="str">
        <f t="shared" si="16"/>
        <v>N</v>
      </c>
      <c r="G41" t="str">
        <f t="shared" si="16"/>
        <v>N</v>
      </c>
      <c r="H41" t="str">
        <f t="shared" si="16"/>
        <v>N</v>
      </c>
      <c r="I41" t="str">
        <f t="shared" si="16"/>
        <v>N</v>
      </c>
      <c r="J41" t="str">
        <f t="shared" si="16"/>
        <v>N</v>
      </c>
      <c r="K41" t="str">
        <f t="shared" si="16"/>
        <v>N</v>
      </c>
      <c r="L41" t="str">
        <f t="shared" si="16"/>
        <v>N</v>
      </c>
      <c r="M41" t="str">
        <f t="shared" si="16"/>
        <v>Y</v>
      </c>
      <c r="N41" t="str">
        <f t="shared" si="16"/>
        <v>N</v>
      </c>
      <c r="O41" t="str">
        <f t="shared" si="16"/>
        <v>N</v>
      </c>
      <c r="P41" t="str">
        <f t="shared" si="16"/>
        <v>N</v>
      </c>
      <c r="Q41" t="str">
        <f t="shared" si="16"/>
        <v>N</v>
      </c>
      <c r="R41" t="str">
        <f t="shared" si="16"/>
        <v>N</v>
      </c>
      <c r="S41" t="str">
        <f t="shared" si="16"/>
        <v>N</v>
      </c>
      <c r="T41" t="str">
        <f t="shared" si="16"/>
        <v>N</v>
      </c>
      <c r="U41" t="str">
        <f t="shared" si="16"/>
        <v>N</v>
      </c>
      <c r="V41" t="str">
        <f t="shared" si="16"/>
        <v>N</v>
      </c>
      <c r="W41" t="str">
        <f t="shared" si="16"/>
        <v>N</v>
      </c>
      <c r="X41" t="str">
        <f t="shared" si="16"/>
        <v>N</v>
      </c>
      <c r="Y41" t="str">
        <f t="shared" si="16"/>
        <v>N</v>
      </c>
      <c r="Z41" t="str">
        <f t="shared" si="16"/>
        <v>N</v>
      </c>
      <c r="AA41" t="str">
        <f t="shared" si="16"/>
        <v>N</v>
      </c>
      <c r="AB41" t="str">
        <f t="shared" si="16"/>
        <v>N</v>
      </c>
      <c r="AC41" t="str">
        <f t="shared" si="16"/>
        <v>N</v>
      </c>
      <c r="AD41" t="str">
        <f t="shared" si="16"/>
        <v>N</v>
      </c>
      <c r="AE41" t="str">
        <f t="shared" si="16"/>
        <v>N</v>
      </c>
      <c r="AF41" t="str">
        <f t="shared" si="16"/>
        <v>Y</v>
      </c>
      <c r="AG41" t="str">
        <f t="shared" si="16"/>
        <v>N</v>
      </c>
      <c r="AH41" t="str">
        <f t="shared" si="16"/>
        <v>N</v>
      </c>
      <c r="AI41" t="str">
        <f t="shared" si="16"/>
        <v>N</v>
      </c>
      <c r="AJ41" t="str">
        <f t="shared" si="16"/>
        <v>Y</v>
      </c>
      <c r="AK41" t="str">
        <f t="shared" si="16"/>
        <v>N</v>
      </c>
      <c r="AL41" t="str">
        <f t="shared" si="16"/>
        <v>Y</v>
      </c>
      <c r="AM41" t="str">
        <f t="shared" si="16"/>
        <v>N</v>
      </c>
      <c r="AN41" t="str">
        <f t="shared" si="16"/>
        <v>N</v>
      </c>
      <c r="AO41" t="str">
        <f t="shared" si="16"/>
        <v>N</v>
      </c>
      <c r="AP41" t="str">
        <f t="shared" si="16"/>
        <v>N</v>
      </c>
      <c r="AQ41" t="str">
        <f t="shared" si="16"/>
        <v>N</v>
      </c>
    </row>
    <row r="42" spans="1:43" x14ac:dyDescent="0.25">
      <c r="A42" t="s">
        <v>30</v>
      </c>
      <c r="C42" t="str">
        <f>IF(C39&gt;$B$16,"Y","N")</f>
        <v>N</v>
      </c>
      <c r="D42" t="str">
        <f t="shared" ref="D42:AQ42" si="17">IF(D39&gt;$B$16,"Y","N")</f>
        <v>N</v>
      </c>
      <c r="E42" t="str">
        <f t="shared" si="17"/>
        <v>N</v>
      </c>
      <c r="F42" t="str">
        <f t="shared" si="17"/>
        <v>N</v>
      </c>
      <c r="G42" t="str">
        <f t="shared" si="17"/>
        <v>N</v>
      </c>
      <c r="H42" t="str">
        <f t="shared" si="17"/>
        <v>N</v>
      </c>
      <c r="I42" t="str">
        <f t="shared" si="17"/>
        <v>N</v>
      </c>
      <c r="J42" t="str">
        <f t="shared" si="17"/>
        <v>N</v>
      </c>
      <c r="K42" t="str">
        <f t="shared" si="17"/>
        <v>N</v>
      </c>
      <c r="L42" t="str">
        <f t="shared" si="17"/>
        <v>N</v>
      </c>
      <c r="M42" t="str">
        <f t="shared" si="17"/>
        <v>N</v>
      </c>
      <c r="N42" t="str">
        <f t="shared" si="17"/>
        <v>N</v>
      </c>
      <c r="O42" t="str">
        <f t="shared" si="17"/>
        <v>N</v>
      </c>
      <c r="P42" t="str">
        <f t="shared" si="17"/>
        <v>N</v>
      </c>
      <c r="Q42" t="str">
        <f t="shared" si="17"/>
        <v>N</v>
      </c>
      <c r="R42" t="str">
        <f t="shared" si="17"/>
        <v>N</v>
      </c>
      <c r="S42" t="str">
        <f t="shared" si="17"/>
        <v>N</v>
      </c>
      <c r="T42" t="str">
        <f t="shared" si="17"/>
        <v>N</v>
      </c>
      <c r="U42" t="str">
        <f t="shared" si="17"/>
        <v>N</v>
      </c>
      <c r="V42" t="str">
        <f t="shared" si="17"/>
        <v>N</v>
      </c>
      <c r="W42" t="str">
        <f t="shared" si="17"/>
        <v>N</v>
      </c>
      <c r="X42" t="str">
        <f t="shared" si="17"/>
        <v>N</v>
      </c>
      <c r="Y42" t="str">
        <f t="shared" si="17"/>
        <v>N</v>
      </c>
      <c r="Z42" t="str">
        <f t="shared" si="17"/>
        <v>N</v>
      </c>
      <c r="AA42" t="str">
        <f t="shared" si="17"/>
        <v>N</v>
      </c>
      <c r="AB42" t="str">
        <f t="shared" si="17"/>
        <v>N</v>
      </c>
      <c r="AC42" t="str">
        <f t="shared" si="17"/>
        <v>N</v>
      </c>
      <c r="AD42" t="str">
        <f t="shared" si="17"/>
        <v>N</v>
      </c>
      <c r="AE42" t="str">
        <f t="shared" si="17"/>
        <v>N</v>
      </c>
      <c r="AF42" t="str">
        <f t="shared" si="17"/>
        <v>N</v>
      </c>
      <c r="AG42" t="str">
        <f t="shared" si="17"/>
        <v>N</v>
      </c>
      <c r="AH42" t="str">
        <f t="shared" si="17"/>
        <v>N</v>
      </c>
      <c r="AI42" t="str">
        <f t="shared" si="17"/>
        <v>N</v>
      </c>
      <c r="AJ42" t="str">
        <f t="shared" si="17"/>
        <v>N</v>
      </c>
      <c r="AK42" t="str">
        <f t="shared" si="17"/>
        <v>N</v>
      </c>
      <c r="AL42" t="str">
        <f t="shared" si="17"/>
        <v>N</v>
      </c>
      <c r="AM42" t="str">
        <f t="shared" si="17"/>
        <v>N</v>
      </c>
      <c r="AN42" t="str">
        <f t="shared" si="17"/>
        <v>N</v>
      </c>
      <c r="AO42" t="str">
        <f t="shared" si="17"/>
        <v>N</v>
      </c>
      <c r="AP42" t="str">
        <f t="shared" si="17"/>
        <v>N</v>
      </c>
      <c r="AQ42" t="str">
        <f t="shared" si="17"/>
        <v>N</v>
      </c>
    </row>
    <row r="43" spans="1:43" x14ac:dyDescent="0.25">
      <c r="A43" t="s">
        <v>31</v>
      </c>
      <c r="B43" s="7">
        <f>B5-B9</f>
        <v>65</v>
      </c>
      <c r="C43" s="7">
        <f t="shared" ref="C43:AQ43" si="18">C5-C9</f>
        <v>65.849999999999994</v>
      </c>
      <c r="D43" s="7">
        <f t="shared" si="18"/>
        <v>62.132999999999996</v>
      </c>
      <c r="E43" s="7">
        <f t="shared" si="18"/>
        <v>66.722850000000008</v>
      </c>
      <c r="F43" s="7">
        <f t="shared" si="18"/>
        <v>64.884105000000005</v>
      </c>
      <c r="G43" s="7">
        <f t="shared" si="18"/>
        <v>64.534455809999997</v>
      </c>
      <c r="H43" s="7">
        <f t="shared" si="18"/>
        <v>64.151355420900018</v>
      </c>
      <c r="I43" s="7">
        <f t="shared" si="18"/>
        <v>61.391245275459006</v>
      </c>
      <c r="J43" s="7">
        <f t="shared" si="18"/>
        <v>65.483510953204089</v>
      </c>
      <c r="K43" s="7">
        <f t="shared" si="18"/>
        <v>62.417017607678638</v>
      </c>
      <c r="L43" s="7">
        <f t="shared" si="18"/>
        <v>59.532225050385023</v>
      </c>
      <c r="M43" s="7">
        <f t="shared" si="18"/>
        <v>57.372852755569795</v>
      </c>
      <c r="N43" s="7">
        <f t="shared" si="18"/>
        <v>53.899681442079768</v>
      </c>
      <c r="O43" s="7">
        <f t="shared" si="18"/>
        <v>53.405683056845817</v>
      </c>
      <c r="P43" s="7">
        <f t="shared" si="18"/>
        <v>53.470520168307729</v>
      </c>
      <c r="Q43" s="7">
        <f t="shared" si="18"/>
        <v>55.618452144204412</v>
      </c>
      <c r="R43" s="7">
        <f t="shared" si="18"/>
        <v>51.729635963643076</v>
      </c>
      <c r="S43" s="7">
        <f t="shared" si="18"/>
        <v>53.862520225479429</v>
      </c>
      <c r="T43" s="7">
        <f t="shared" si="18"/>
        <v>54.411665996761172</v>
      </c>
      <c r="U43" s="7">
        <f t="shared" si="18"/>
        <v>52.780240709655708</v>
      </c>
      <c r="V43" s="7">
        <f t="shared" si="18"/>
        <v>54.363647930945376</v>
      </c>
      <c r="W43" s="7">
        <f t="shared" si="18"/>
        <v>56.038411575066341</v>
      </c>
      <c r="X43" s="7">
        <f t="shared" si="18"/>
        <v>54.357259227814346</v>
      </c>
      <c r="Y43" s="7">
        <f t="shared" si="18"/>
        <v>51.640320034611413</v>
      </c>
      <c r="Z43" s="7">
        <f t="shared" si="18"/>
        <v>50.048557632060493</v>
      </c>
      <c r="AA43" s="7">
        <f t="shared" si="18"/>
        <v>52.093070758135731</v>
      </c>
      <c r="AB43" s="7">
        <f t="shared" si="18"/>
        <v>51.018222525498679</v>
      </c>
      <c r="AC43" s="7">
        <f t="shared" si="18"/>
        <v>51.018222525498679</v>
      </c>
      <c r="AD43" s="7">
        <f t="shared" si="18"/>
        <v>52.038586976008652</v>
      </c>
      <c r="AE43" s="7">
        <f t="shared" si="18"/>
        <v>47.652449988944333</v>
      </c>
      <c r="AF43" s="7">
        <f t="shared" si="18"/>
        <v>44.194675230536653</v>
      </c>
      <c r="AG43" s="7">
        <f t="shared" si="18"/>
        <v>41.036214351664476</v>
      </c>
      <c r="AH43" s="7">
        <f t="shared" si="18"/>
        <v>41.856938638697763</v>
      </c>
      <c r="AI43" s="7">
        <f t="shared" si="18"/>
        <v>39.355048456606703</v>
      </c>
      <c r="AJ43" s="7">
        <f t="shared" si="18"/>
        <v>34.420167645803403</v>
      </c>
      <c r="AK43" s="7">
        <f t="shared" si="18"/>
        <v>39.450026131928183</v>
      </c>
      <c r="AL43" s="7">
        <f t="shared" si="18"/>
        <v>35.572690278880032</v>
      </c>
      <c r="AM43" s="7">
        <f t="shared" si="18"/>
        <v>38.694858989361961</v>
      </c>
      <c r="AN43" s="7">
        <f t="shared" si="18"/>
        <v>38.009862988656792</v>
      </c>
      <c r="AO43" s="7">
        <f t="shared" si="18"/>
        <v>35.17412784674697</v>
      </c>
      <c r="AP43" s="7">
        <f t="shared" si="18"/>
        <v>33.771880869492676</v>
      </c>
      <c r="AQ43" s="7">
        <f t="shared" si="18"/>
        <v>32.421005634712969</v>
      </c>
    </row>
    <row r="44" spans="1:43" x14ac:dyDescent="0.25">
      <c r="A44" t="s">
        <v>32</v>
      </c>
      <c r="B44" s="7"/>
      <c r="C44" s="4">
        <f>C43/$B$43-1</f>
        <v>1.3076923076922986E-2</v>
      </c>
      <c r="D44" s="4">
        <f t="shared" ref="D44:AQ44" si="19">D43/$B$43-1</f>
        <v>-4.4107692307692403E-2</v>
      </c>
      <c r="E44" s="4">
        <f t="shared" si="19"/>
        <v>2.6505384615384653E-2</v>
      </c>
      <c r="F44" s="4">
        <f t="shared" si="19"/>
        <v>-1.782999999999868E-3</v>
      </c>
      <c r="G44" s="4">
        <f t="shared" si="19"/>
        <v>-7.1622183076923696E-3</v>
      </c>
      <c r="H44" s="4">
        <f t="shared" si="19"/>
        <v>-1.3056070447692081E-2</v>
      </c>
      <c r="I44" s="4">
        <f t="shared" si="19"/>
        <v>-5.5519303454476865E-2</v>
      </c>
      <c r="J44" s="4">
        <f t="shared" si="19"/>
        <v>7.4386300492936819E-3</v>
      </c>
      <c r="K44" s="4">
        <f t="shared" si="19"/>
        <v>-3.9738190651097849E-2</v>
      </c>
      <c r="L44" s="4">
        <f t="shared" si="19"/>
        <v>-8.4119614609461157E-2</v>
      </c>
      <c r="M44" s="4">
        <f t="shared" si="19"/>
        <v>-0.11734072683738772</v>
      </c>
      <c r="N44" s="4">
        <f t="shared" si="19"/>
        <v>-0.1707741316603113</v>
      </c>
      <c r="O44" s="4">
        <f t="shared" si="19"/>
        <v>-0.17837410681775667</v>
      </c>
      <c r="P44" s="4">
        <f t="shared" si="19"/>
        <v>-0.17737661279526573</v>
      </c>
      <c r="Q44" s="4">
        <f t="shared" si="19"/>
        <v>-0.14433150547377827</v>
      </c>
      <c r="R44" s="4">
        <f t="shared" si="19"/>
        <v>-0.20415944671318342</v>
      </c>
      <c r="S44" s="4">
        <f t="shared" si="19"/>
        <v>-0.17134584268493191</v>
      </c>
      <c r="T44" s="4">
        <f t="shared" si="19"/>
        <v>-0.1628974462036743</v>
      </c>
      <c r="U44" s="4">
        <f t="shared" si="19"/>
        <v>-0.18799629677452756</v>
      </c>
      <c r="V44" s="4">
        <f t="shared" si="19"/>
        <v>-0.16363618567776339</v>
      </c>
      <c r="W44" s="4">
        <f t="shared" si="19"/>
        <v>-0.13787059115282552</v>
      </c>
      <c r="X44" s="4">
        <f t="shared" si="19"/>
        <v>-0.16373447341824088</v>
      </c>
      <c r="Y44" s="4">
        <f t="shared" si="19"/>
        <v>-0.20553353792905515</v>
      </c>
      <c r="Z44" s="4">
        <f t="shared" si="19"/>
        <v>-0.23002219027599236</v>
      </c>
      <c r="AA44" s="4">
        <f t="shared" si="19"/>
        <v>-0.19856814218252716</v>
      </c>
      <c r="AB44" s="4">
        <f t="shared" si="19"/>
        <v>-0.21510426883848188</v>
      </c>
      <c r="AC44" s="4">
        <f t="shared" si="19"/>
        <v>-0.21510426883848188</v>
      </c>
      <c r="AD44" s="4">
        <f t="shared" si="19"/>
        <v>-0.19940635421525155</v>
      </c>
      <c r="AE44" s="4">
        <f t="shared" si="19"/>
        <v>-0.26688538478547175</v>
      </c>
      <c r="AF44" s="4">
        <f t="shared" si="19"/>
        <v>-0.32008191953020537</v>
      </c>
      <c r="AG44" s="4">
        <f t="shared" si="19"/>
        <v>-0.36867362535900805</v>
      </c>
      <c r="AH44" s="4">
        <f t="shared" si="19"/>
        <v>-0.35604709786618827</v>
      </c>
      <c r="AI44" s="4">
        <f t="shared" si="19"/>
        <v>-0.39453771605220456</v>
      </c>
      <c r="AJ44" s="4">
        <f t="shared" si="19"/>
        <v>-0.47045895929533221</v>
      </c>
      <c r="AK44" s="4">
        <f t="shared" si="19"/>
        <v>-0.39307652104725876</v>
      </c>
      <c r="AL44" s="4">
        <f t="shared" si="19"/>
        <v>-0.45272784186338411</v>
      </c>
      <c r="AM44" s="4">
        <f t="shared" si="19"/>
        <v>-0.40469447708673911</v>
      </c>
      <c r="AN44" s="4">
        <f t="shared" si="19"/>
        <v>-0.41523287709758783</v>
      </c>
      <c r="AO44" s="4">
        <f t="shared" si="19"/>
        <v>-0.45885957158850821</v>
      </c>
      <c r="AP44" s="4">
        <f t="shared" si="19"/>
        <v>-0.48043260200780502</v>
      </c>
      <c r="AQ44" s="4">
        <f t="shared" si="19"/>
        <v>-0.50121529792749275</v>
      </c>
    </row>
    <row r="45" spans="1:43" x14ac:dyDescent="0.25">
      <c r="A45" t="s">
        <v>33</v>
      </c>
      <c r="C45" t="str">
        <f>IF(C44&lt;$B$17,"Y","N")</f>
        <v>N</v>
      </c>
      <c r="D45" t="str">
        <f t="shared" ref="D45" si="20">IF(D44&lt;$B$17,"Y","N")</f>
        <v>N</v>
      </c>
      <c r="E45" t="str">
        <f t="shared" ref="E45" si="21">IF(E44&lt;$B$17,"Y","N")</f>
        <v>N</v>
      </c>
      <c r="F45" t="str">
        <f t="shared" ref="F45" si="22">IF(F44&lt;$B$17,"Y","N")</f>
        <v>N</v>
      </c>
      <c r="G45" t="str">
        <f t="shared" ref="G45" si="23">IF(G44&lt;$B$17,"Y","N")</f>
        <v>N</v>
      </c>
      <c r="H45" t="str">
        <f t="shared" ref="H45" si="24">IF(H44&lt;$B$17,"Y","N")</f>
        <v>N</v>
      </c>
      <c r="I45" t="str">
        <f t="shared" ref="I45" si="25">IF(I44&lt;$B$17,"Y","N")</f>
        <v>N</v>
      </c>
      <c r="J45" t="str">
        <f t="shared" ref="J45" si="26">IF(J44&lt;$B$17,"Y","N")</f>
        <v>N</v>
      </c>
      <c r="K45" t="str">
        <f t="shared" ref="K45" si="27">IF(K44&lt;$B$17,"Y","N")</f>
        <v>N</v>
      </c>
      <c r="L45" t="str">
        <f t="shared" ref="L45" si="28">IF(L44&lt;$B$17,"Y","N")</f>
        <v>N</v>
      </c>
      <c r="M45" t="str">
        <f t="shared" ref="M45" si="29">IF(M44&lt;$B$17,"Y","N")</f>
        <v>N</v>
      </c>
      <c r="N45" t="str">
        <f t="shared" ref="N45" si="30">IF(N44&lt;$B$17,"Y","N")</f>
        <v>N</v>
      </c>
      <c r="O45" t="str">
        <f t="shared" ref="O45" si="31">IF(O44&lt;$B$17,"Y","N")</f>
        <v>N</v>
      </c>
      <c r="P45" t="str">
        <f t="shared" ref="P45" si="32">IF(P44&lt;$B$17,"Y","N")</f>
        <v>N</v>
      </c>
      <c r="Q45" t="str">
        <f t="shared" ref="Q45" si="33">IF(Q44&lt;$B$17,"Y","N")</f>
        <v>N</v>
      </c>
      <c r="R45" t="str">
        <f t="shared" ref="R45" si="34">IF(R44&lt;$B$17,"Y","N")</f>
        <v>N</v>
      </c>
      <c r="S45" t="str">
        <f t="shared" ref="S45" si="35">IF(S44&lt;$B$17,"Y","N")</f>
        <v>N</v>
      </c>
      <c r="T45" t="str">
        <f t="shared" ref="T45" si="36">IF(T44&lt;$B$17,"Y","N")</f>
        <v>N</v>
      </c>
      <c r="U45" t="str">
        <f t="shared" ref="U45" si="37">IF(U44&lt;$B$17,"Y","N")</f>
        <v>N</v>
      </c>
      <c r="V45" t="str">
        <f t="shared" ref="V45" si="38">IF(V44&lt;$B$17,"Y","N")</f>
        <v>N</v>
      </c>
      <c r="W45" t="str">
        <f t="shared" ref="W45" si="39">IF(W44&lt;$B$17,"Y","N")</f>
        <v>N</v>
      </c>
      <c r="X45" t="str">
        <f t="shared" ref="X45" si="40">IF(X44&lt;$B$17,"Y","N")</f>
        <v>N</v>
      </c>
      <c r="Y45" t="str">
        <f t="shared" ref="Y45" si="41">IF(Y44&lt;$B$17,"Y","N")</f>
        <v>N</v>
      </c>
      <c r="Z45" t="str">
        <f t="shared" ref="Z45" si="42">IF(Z44&lt;$B$17,"Y","N")</f>
        <v>N</v>
      </c>
      <c r="AA45" t="str">
        <f t="shared" ref="AA45" si="43">IF(AA44&lt;$B$17,"Y","N")</f>
        <v>N</v>
      </c>
      <c r="AB45" t="str">
        <f t="shared" ref="AB45" si="44">IF(AB44&lt;$B$17,"Y","N")</f>
        <v>N</v>
      </c>
      <c r="AC45" t="str">
        <f t="shared" ref="AC45" si="45">IF(AC44&lt;$B$17,"Y","N")</f>
        <v>N</v>
      </c>
      <c r="AD45" t="str">
        <f t="shared" ref="AD45" si="46">IF(AD44&lt;$B$17,"Y","N")</f>
        <v>N</v>
      </c>
      <c r="AE45" t="str">
        <f t="shared" ref="AE45" si="47">IF(AE44&lt;$B$17,"Y","N")</f>
        <v>N</v>
      </c>
      <c r="AF45" t="str">
        <f t="shared" ref="AF45" si="48">IF(AF44&lt;$B$17,"Y","N")</f>
        <v>N</v>
      </c>
      <c r="AG45" t="str">
        <f t="shared" ref="AG45" si="49">IF(AG44&lt;$B$17,"Y","N")</f>
        <v>N</v>
      </c>
      <c r="AH45" t="str">
        <f t="shared" ref="AH45" si="50">IF(AH44&lt;$B$17,"Y","N")</f>
        <v>N</v>
      </c>
      <c r="AI45" t="str">
        <f t="shared" ref="AI45" si="51">IF(AI44&lt;$B$17,"Y","N")</f>
        <v>N</v>
      </c>
      <c r="AJ45" t="str">
        <f t="shared" ref="AJ45" si="52">IF(AJ44&lt;$B$17,"Y","N")</f>
        <v>N</v>
      </c>
      <c r="AK45" t="str">
        <f t="shared" ref="AK45" si="53">IF(AK44&lt;$B$17,"Y","N")</f>
        <v>N</v>
      </c>
      <c r="AL45" t="str">
        <f t="shared" ref="AL45" si="54">IF(AL44&lt;$B$17,"Y","N")</f>
        <v>N</v>
      </c>
      <c r="AM45" t="str">
        <f t="shared" ref="AM45" si="55">IF(AM44&lt;$B$17,"Y","N")</f>
        <v>N</v>
      </c>
      <c r="AN45" t="str">
        <f t="shared" ref="AN45" si="56">IF(AN44&lt;$B$17,"Y","N")</f>
        <v>N</v>
      </c>
      <c r="AO45" t="str">
        <f t="shared" ref="AO45" si="57">IF(AO44&lt;$B$17,"Y","N")</f>
        <v>N</v>
      </c>
      <c r="AP45" t="str">
        <f t="shared" ref="AP45" si="58">IF(AP44&lt;$B$17,"Y","N")</f>
        <v>N</v>
      </c>
      <c r="AQ45" t="str">
        <f t="shared" ref="AQ45" si="59">IF(AQ44&lt;$B$17,"Y","N")</f>
        <v>Y</v>
      </c>
    </row>
    <row r="46" spans="1:43" x14ac:dyDescent="0.25">
      <c r="A46" t="s">
        <v>34</v>
      </c>
      <c r="B46" t="str">
        <f>IF(B43&lt;$B$21,"Y","N")</f>
        <v>N</v>
      </c>
      <c r="C46" t="str">
        <f t="shared" ref="C46:AQ46" si="60">IF(C43&lt;$B$21,"Y","N")</f>
        <v>N</v>
      </c>
      <c r="D46" t="str">
        <f t="shared" si="60"/>
        <v>N</v>
      </c>
      <c r="E46" t="str">
        <f t="shared" si="60"/>
        <v>N</v>
      </c>
      <c r="F46" t="str">
        <f t="shared" si="60"/>
        <v>N</v>
      </c>
      <c r="G46" t="str">
        <f t="shared" si="60"/>
        <v>N</v>
      </c>
      <c r="H46" t="str">
        <f t="shared" si="60"/>
        <v>N</v>
      </c>
      <c r="I46" t="str">
        <f t="shared" si="60"/>
        <v>N</v>
      </c>
      <c r="J46" t="str">
        <f t="shared" si="60"/>
        <v>N</v>
      </c>
      <c r="K46" t="str">
        <f t="shared" si="60"/>
        <v>N</v>
      </c>
      <c r="L46" t="str">
        <f t="shared" si="60"/>
        <v>N</v>
      </c>
      <c r="M46" t="str">
        <f t="shared" si="60"/>
        <v>N</v>
      </c>
      <c r="N46" t="str">
        <f t="shared" si="60"/>
        <v>N</v>
      </c>
      <c r="O46" t="str">
        <f t="shared" si="60"/>
        <v>N</v>
      </c>
      <c r="P46" t="str">
        <f t="shared" si="60"/>
        <v>N</v>
      </c>
      <c r="Q46" t="str">
        <f t="shared" si="60"/>
        <v>N</v>
      </c>
      <c r="R46" t="str">
        <f t="shared" si="60"/>
        <v>N</v>
      </c>
      <c r="S46" t="str">
        <f t="shared" si="60"/>
        <v>N</v>
      </c>
      <c r="T46" t="str">
        <f t="shared" si="60"/>
        <v>N</v>
      </c>
      <c r="U46" t="str">
        <f t="shared" si="60"/>
        <v>N</v>
      </c>
      <c r="V46" t="str">
        <f t="shared" si="60"/>
        <v>N</v>
      </c>
      <c r="W46" t="str">
        <f t="shared" si="60"/>
        <v>N</v>
      </c>
      <c r="X46" t="str">
        <f t="shared" si="60"/>
        <v>N</v>
      </c>
      <c r="Y46" t="str">
        <f t="shared" si="60"/>
        <v>N</v>
      </c>
      <c r="Z46" t="str">
        <f t="shared" si="60"/>
        <v>N</v>
      </c>
      <c r="AA46" t="str">
        <f t="shared" si="60"/>
        <v>N</v>
      </c>
      <c r="AB46" t="str">
        <f t="shared" si="60"/>
        <v>N</v>
      </c>
      <c r="AC46" t="str">
        <f t="shared" si="60"/>
        <v>N</v>
      </c>
      <c r="AD46" t="str">
        <f t="shared" si="60"/>
        <v>N</v>
      </c>
      <c r="AE46" t="str">
        <f t="shared" si="60"/>
        <v>N</v>
      </c>
      <c r="AF46" t="str">
        <f t="shared" si="60"/>
        <v>N</v>
      </c>
      <c r="AG46" t="str">
        <f t="shared" si="60"/>
        <v>N</v>
      </c>
      <c r="AH46" t="str">
        <f t="shared" si="60"/>
        <v>N</v>
      </c>
      <c r="AI46" t="str">
        <f t="shared" si="60"/>
        <v>N</v>
      </c>
      <c r="AJ46" t="str">
        <f t="shared" si="60"/>
        <v>N</v>
      </c>
      <c r="AK46" t="str">
        <f t="shared" si="60"/>
        <v>N</v>
      </c>
      <c r="AL46" t="str">
        <f t="shared" si="60"/>
        <v>N</v>
      </c>
      <c r="AM46" t="str">
        <f t="shared" si="60"/>
        <v>N</v>
      </c>
      <c r="AN46" t="str">
        <f t="shared" si="60"/>
        <v>N</v>
      </c>
      <c r="AO46" t="str">
        <f t="shared" si="60"/>
        <v>N</v>
      </c>
      <c r="AP46" t="str">
        <f t="shared" si="60"/>
        <v>N</v>
      </c>
      <c r="AQ46" t="str">
        <f t="shared" si="60"/>
        <v>N</v>
      </c>
    </row>
    <row r="47" spans="1:43" x14ac:dyDescent="0.25">
      <c r="A47" t="s">
        <v>35</v>
      </c>
      <c r="B47" s="6">
        <f>0.9*B5-1.2*B9</f>
        <v>43.5</v>
      </c>
      <c r="C47" s="6">
        <f t="shared" ref="C47:AQ47" si="61">0.9*C5-1.2*C9</f>
        <v>44.865000000000009</v>
      </c>
      <c r="D47" s="6">
        <f t="shared" si="61"/>
        <v>41.087700000000005</v>
      </c>
      <c r="E47" s="6">
        <f t="shared" si="61"/>
        <v>44.921925000000016</v>
      </c>
      <c r="F47" s="6">
        <f t="shared" si="61"/>
        <v>43.418340900000018</v>
      </c>
      <c r="G47" s="6">
        <f t="shared" si="61"/>
        <v>42.654336021000006</v>
      </c>
      <c r="H47" s="6">
        <f t="shared" si="61"/>
        <v>41.846745444570018</v>
      </c>
      <c r="I47" s="6">
        <f t="shared" si="61"/>
        <v>38.885962080645911</v>
      </c>
      <c r="J47" s="6">
        <f t="shared" si="61"/>
        <v>42.405339603943816</v>
      </c>
      <c r="K47" s="6">
        <f t="shared" si="61"/>
        <v>39.810793795510307</v>
      </c>
      <c r="L47" s="6">
        <f t="shared" si="61"/>
        <v>37.050835273432043</v>
      </c>
      <c r="M47" s="6">
        <f t="shared" si="61"/>
        <v>34.115710171783476</v>
      </c>
      <c r="N47" s="6">
        <f t="shared" si="61"/>
        <v>30.98985598964245</v>
      </c>
      <c r="O47" s="6">
        <f t="shared" si="61"/>
        <v>31.070853162178778</v>
      </c>
      <c r="P47" s="6">
        <f t="shared" si="61"/>
        <v>31.808977026053796</v>
      </c>
      <c r="Q47" s="6">
        <f t="shared" si="61"/>
        <v>33.41582598185235</v>
      </c>
      <c r="R47" s="6">
        <f t="shared" si="61"/>
        <v>30.082299228826457</v>
      </c>
      <c r="S47" s="6">
        <f t="shared" si="61"/>
        <v>32.001895064479186</v>
      </c>
      <c r="T47" s="6">
        <f t="shared" si="61"/>
        <v>32.660869990017275</v>
      </c>
      <c r="U47" s="6">
        <f t="shared" si="61"/>
        <v>31.029490937551685</v>
      </c>
      <c r="V47" s="6">
        <f t="shared" si="61"/>
        <v>31.960375665678214</v>
      </c>
      <c r="W47" s="6">
        <f t="shared" si="61"/>
        <v>33.637332020108815</v>
      </c>
      <c r="X47" s="6">
        <f t="shared" si="61"/>
        <v>32.628212059505557</v>
      </c>
      <c r="Y47" s="6">
        <f t="shared" si="61"/>
        <v>30.345899998078181</v>
      </c>
      <c r="Z47" s="6">
        <f t="shared" si="61"/>
        <v>28.752009955451641</v>
      </c>
      <c r="AA47" s="6">
        <f t="shared" si="61"/>
        <v>30.266237930651286</v>
      </c>
      <c r="AB47" s="6">
        <f t="shared" si="61"/>
        <v>29.298874521277952</v>
      </c>
      <c r="AC47" s="6">
        <f t="shared" si="61"/>
        <v>29.298874521277952</v>
      </c>
      <c r="AD47" s="6">
        <f t="shared" si="61"/>
        <v>29.884852011703501</v>
      </c>
      <c r="AE47" s="6">
        <f t="shared" si="61"/>
        <v>25.598331198011522</v>
      </c>
      <c r="AF47" s="6">
        <f t="shared" si="61"/>
        <v>21.449001487922303</v>
      </c>
      <c r="AG47" s="6">
        <f t="shared" si="61"/>
        <v>18.606386696937349</v>
      </c>
      <c r="AH47" s="6">
        <f t="shared" si="61"/>
        <v>18.978514430876103</v>
      </c>
      <c r="AI47" s="6">
        <f t="shared" si="61"/>
        <v>16.91374057043366</v>
      </c>
      <c r="AJ47" s="6">
        <f t="shared" si="61"/>
        <v>10.991883597469709</v>
      </c>
      <c r="AK47" s="6">
        <f t="shared" si="61"/>
        <v>16.118344253494612</v>
      </c>
      <c r="AL47" s="6">
        <f t="shared" si="61"/>
        <v>11.46554122983683</v>
      </c>
      <c r="AM47" s="6">
        <f t="shared" si="61"/>
        <v>14.275493069270567</v>
      </c>
      <c r="AN47" s="6">
        <f t="shared" si="61"/>
        <v>13.453497868424364</v>
      </c>
      <c r="AO47" s="6">
        <f t="shared" si="61"/>
        <v>10.693782452491845</v>
      </c>
      <c r="AP47" s="6">
        <f t="shared" si="61"/>
        <v>9.6413894990587892</v>
      </c>
      <c r="AQ47" s="6">
        <f t="shared" si="61"/>
        <v>9.2557339190964427</v>
      </c>
    </row>
    <row r="49" spans="1:43" x14ac:dyDescent="0.25">
      <c r="A49" s="10"/>
      <c r="B49" s="11">
        <v>44926</v>
      </c>
      <c r="C49" s="11">
        <v>44929</v>
      </c>
      <c r="D49" s="11">
        <v>44930</v>
      </c>
      <c r="E49" s="11">
        <v>44931</v>
      </c>
      <c r="F49" s="11">
        <v>44932</v>
      </c>
      <c r="G49" s="11">
        <v>44935</v>
      </c>
      <c r="H49" s="11">
        <v>44936</v>
      </c>
      <c r="I49" s="11">
        <v>44937</v>
      </c>
      <c r="J49" s="11">
        <v>44938</v>
      </c>
      <c r="K49" s="11">
        <v>44939</v>
      </c>
      <c r="L49" s="11">
        <v>44942</v>
      </c>
      <c r="M49" s="11">
        <v>44943</v>
      </c>
      <c r="N49" s="11">
        <v>44944</v>
      </c>
      <c r="O49" s="11">
        <v>44945</v>
      </c>
      <c r="P49" s="11">
        <v>44946</v>
      </c>
      <c r="Q49" s="11">
        <v>44949</v>
      </c>
      <c r="R49" s="11">
        <v>44950</v>
      </c>
      <c r="S49" s="11">
        <v>44951</v>
      </c>
      <c r="T49" s="11">
        <v>44952</v>
      </c>
      <c r="U49" s="11">
        <v>44953</v>
      </c>
      <c r="V49" s="11">
        <v>44956</v>
      </c>
      <c r="W49" s="11">
        <v>44957</v>
      </c>
      <c r="X49" s="11">
        <v>44958</v>
      </c>
      <c r="Y49" s="11">
        <v>44959</v>
      </c>
      <c r="Z49" s="11">
        <v>44960</v>
      </c>
      <c r="AA49" s="11">
        <v>44963</v>
      </c>
      <c r="AB49" s="11">
        <v>44964</v>
      </c>
      <c r="AC49" s="11">
        <v>44965</v>
      </c>
      <c r="AD49" s="11">
        <v>44966</v>
      </c>
      <c r="AE49" s="11">
        <v>44967</v>
      </c>
      <c r="AF49" s="11">
        <v>44970</v>
      </c>
      <c r="AG49" s="11">
        <v>44971</v>
      </c>
      <c r="AH49" s="11">
        <v>44972</v>
      </c>
      <c r="AI49" s="11">
        <v>44973</v>
      </c>
      <c r="AJ49" s="11">
        <v>44974</v>
      </c>
      <c r="AK49" s="11">
        <v>44977</v>
      </c>
      <c r="AL49" s="11">
        <v>44978</v>
      </c>
      <c r="AM49" s="11">
        <v>44979</v>
      </c>
      <c r="AN49" s="11">
        <v>44980</v>
      </c>
      <c r="AO49" s="11">
        <v>44981</v>
      </c>
      <c r="AP49" s="11">
        <v>44984</v>
      </c>
      <c r="AQ49" s="11">
        <v>44985</v>
      </c>
    </row>
    <row r="50" spans="1:43" x14ac:dyDescent="0.25">
      <c r="A50" t="s">
        <v>36</v>
      </c>
      <c r="C50" s="4">
        <f>C6/B6-1</f>
        <v>1.0000000000000009E-2</v>
      </c>
      <c r="D50" s="8">
        <f t="shared" ref="D50:AQ50" si="62">D6/C6-1</f>
        <v>-3.0000000000000027E-2</v>
      </c>
      <c r="E50" s="4">
        <f t="shared" si="62"/>
        <v>1.0000000000000009E-2</v>
      </c>
      <c r="F50" s="4">
        <f t="shared" si="62"/>
        <v>2.0000000000000018E-2</v>
      </c>
      <c r="G50" s="4">
        <f t="shared" si="62"/>
        <v>1.0000000000000009E-2</v>
      </c>
      <c r="H50" s="4">
        <f t="shared" si="62"/>
        <v>-3.0000000000000027E-2</v>
      </c>
      <c r="I50" s="4">
        <f t="shared" si="62"/>
        <v>0</v>
      </c>
      <c r="J50" s="4">
        <f t="shared" si="62"/>
        <v>0</v>
      </c>
      <c r="K50" s="4">
        <f t="shared" si="62"/>
        <v>-2.0000000000000018E-2</v>
      </c>
      <c r="L50" s="4">
        <f t="shared" si="62"/>
        <v>3.0000000000000027E-2</v>
      </c>
      <c r="M50" s="4">
        <f t="shared" si="62"/>
        <v>0</v>
      </c>
      <c r="N50" s="4">
        <f t="shared" si="62"/>
        <v>0</v>
      </c>
      <c r="O50" s="4">
        <f t="shared" si="62"/>
        <v>0</v>
      </c>
      <c r="P50" s="4">
        <f t="shared" si="62"/>
        <v>-4.0000000000000036E-2</v>
      </c>
      <c r="Q50" s="4">
        <f t="shared" si="62"/>
        <v>3.0000000000000027E-2</v>
      </c>
      <c r="R50" s="4">
        <f t="shared" si="62"/>
        <v>3.0000000000000027E-2</v>
      </c>
      <c r="S50" s="4">
        <f t="shared" si="62"/>
        <v>1.0000000000000009E-2</v>
      </c>
      <c r="T50" s="4">
        <f t="shared" si="62"/>
        <v>3.0000000000000027E-2</v>
      </c>
      <c r="U50" s="4">
        <f t="shared" si="62"/>
        <v>-9.9999999999998979E-3</v>
      </c>
      <c r="V50" s="4">
        <f t="shared" si="62"/>
        <v>-2.0000000000000129E-2</v>
      </c>
      <c r="W50" s="4">
        <f t="shared" si="62"/>
        <v>-2.0000000000000018E-2</v>
      </c>
      <c r="X50" s="4">
        <f t="shared" si="62"/>
        <v>1.0000000000000009E-2</v>
      </c>
      <c r="Y50" s="4">
        <f t="shared" si="62"/>
        <v>3.0000000000000027E-2</v>
      </c>
      <c r="Z50" s="4">
        <f t="shared" si="62"/>
        <v>-1.0000000000000009E-2</v>
      </c>
      <c r="AA50" s="4">
        <f t="shared" si="62"/>
        <v>2.0000000000000018E-2</v>
      </c>
      <c r="AB50" s="4">
        <f t="shared" si="62"/>
        <v>4.0000000000000036E-2</v>
      </c>
      <c r="AC50" s="4">
        <f t="shared" si="62"/>
        <v>1.0000000000000009E-2</v>
      </c>
      <c r="AD50" s="4">
        <f t="shared" si="62"/>
        <v>5.0000000000000044E-2</v>
      </c>
      <c r="AE50" s="4">
        <f t="shared" si="62"/>
        <v>-2.9999999999999916E-2</v>
      </c>
      <c r="AF50" s="4">
        <f t="shared" si="62"/>
        <v>-1.0000000000000009E-2</v>
      </c>
      <c r="AG50" s="4">
        <f t="shared" si="62"/>
        <v>-2.9999999999999916E-2</v>
      </c>
      <c r="AH50" s="4">
        <f t="shared" si="62"/>
        <v>3.0000000000000027E-2</v>
      </c>
      <c r="AI50" s="4">
        <f t="shared" si="62"/>
        <v>-3.0000000000000027E-2</v>
      </c>
      <c r="AJ50" s="4">
        <f t="shared" si="62"/>
        <v>2.0000000000000018E-2</v>
      </c>
      <c r="AK50" s="4">
        <f t="shared" si="62"/>
        <v>-1.000000000000012E-2</v>
      </c>
      <c r="AL50" s="4">
        <f t="shared" si="62"/>
        <v>3.0000000000000027E-2</v>
      </c>
      <c r="AM50" s="4">
        <f t="shared" si="62"/>
        <v>3.0000000000000027E-2</v>
      </c>
      <c r="AN50" s="4">
        <f t="shared" si="62"/>
        <v>-1.0000000000000009E-2</v>
      </c>
      <c r="AO50" s="4">
        <f t="shared" si="62"/>
        <v>1.0000000000000009E-2</v>
      </c>
      <c r="AP50" s="4">
        <f t="shared" si="62"/>
        <v>3.0000000000000027E-2</v>
      </c>
      <c r="AQ50" s="4">
        <f t="shared" si="62"/>
        <v>0</v>
      </c>
    </row>
    <row r="51" spans="1:43" x14ac:dyDescent="0.25">
      <c r="A51" t="s">
        <v>37</v>
      </c>
      <c r="C51" s="4">
        <f>C10/B10-1</f>
        <v>3.0000000000000027E-2</v>
      </c>
      <c r="D51" s="4">
        <f t="shared" ref="D51:AQ51" si="63">D10/C10-1</f>
        <v>-3.0000000000000138E-2</v>
      </c>
      <c r="E51" s="4">
        <f t="shared" si="63"/>
        <v>0</v>
      </c>
      <c r="F51" s="4">
        <f t="shared" si="63"/>
        <v>-9.9999999999998979E-3</v>
      </c>
      <c r="G51" s="4">
        <f t="shared" si="63"/>
        <v>-3.0000000000000027E-2</v>
      </c>
      <c r="H51" s="4">
        <f t="shared" si="63"/>
        <v>0</v>
      </c>
      <c r="I51" s="4">
        <f t="shared" si="63"/>
        <v>3.0000000000000027E-2</v>
      </c>
      <c r="J51" s="4">
        <f t="shared" si="63"/>
        <v>1.0000000000000009E-2</v>
      </c>
      <c r="K51" s="4">
        <f t="shared" si="63"/>
        <v>0</v>
      </c>
      <c r="L51" s="4">
        <f t="shared" si="63"/>
        <v>0</v>
      </c>
      <c r="M51" s="4">
        <f t="shared" si="63"/>
        <v>0</v>
      </c>
      <c r="N51" s="4">
        <f t="shared" si="63"/>
        <v>2.0000000000000018E-2</v>
      </c>
      <c r="O51" s="4">
        <f t="shared" si="63"/>
        <v>-3.0000000000000027E-2</v>
      </c>
      <c r="P51" s="4">
        <f t="shared" si="63"/>
        <v>2.0000000000000018E-2</v>
      </c>
      <c r="Q51" s="4">
        <f t="shared" si="63"/>
        <v>1.0000000000000009E-2</v>
      </c>
      <c r="R51" s="4">
        <f t="shared" si="63"/>
        <v>3.0000000000000027E-2</v>
      </c>
      <c r="S51" s="4">
        <f t="shared" si="63"/>
        <v>3.0000000000000027E-2</v>
      </c>
      <c r="T51" s="4">
        <f t="shared" si="63"/>
        <v>0</v>
      </c>
      <c r="U51" s="4">
        <f t="shared" si="63"/>
        <v>2.0000000000000018E-2</v>
      </c>
      <c r="V51" s="4">
        <f t="shared" si="63"/>
        <v>5.0000000000000044E-2</v>
      </c>
      <c r="W51" s="4">
        <f t="shared" si="63"/>
        <v>0</v>
      </c>
      <c r="X51" s="4">
        <f t="shared" si="63"/>
        <v>-4.0000000000000036E-2</v>
      </c>
      <c r="Y51" s="4">
        <f t="shared" si="63"/>
        <v>8.0000000000000071E-2</v>
      </c>
      <c r="Z51" s="4">
        <f t="shared" si="63"/>
        <v>0</v>
      </c>
      <c r="AA51" s="4">
        <f t="shared" si="63"/>
        <v>3.0000000000000027E-2</v>
      </c>
      <c r="AB51" s="4">
        <f t="shared" si="63"/>
        <v>0</v>
      </c>
      <c r="AC51" s="4">
        <f t="shared" si="63"/>
        <v>3.0000000000000027E-2</v>
      </c>
      <c r="AD51" s="4">
        <f t="shared" si="63"/>
        <v>-3.0000000000000027E-2</v>
      </c>
      <c r="AE51" s="4">
        <f t="shared" si="63"/>
        <v>-2.9999999999999916E-2</v>
      </c>
      <c r="AF51" s="4">
        <f t="shared" si="63"/>
        <v>0</v>
      </c>
      <c r="AG51" s="4">
        <f t="shared" si="63"/>
        <v>6.0000000000000053E-2</v>
      </c>
      <c r="AH51" s="4">
        <f t="shared" si="63"/>
        <v>0</v>
      </c>
      <c r="AI51" s="4">
        <f t="shared" si="63"/>
        <v>4.0000000000000036E-2</v>
      </c>
      <c r="AJ51" s="4">
        <f t="shared" si="63"/>
        <v>0</v>
      </c>
      <c r="AK51" s="4">
        <f t="shared" si="63"/>
        <v>0</v>
      </c>
      <c r="AL51" s="4">
        <f t="shared" si="63"/>
        <v>-1.000000000000012E-2</v>
      </c>
      <c r="AM51" s="4">
        <f t="shared" si="63"/>
        <v>0</v>
      </c>
      <c r="AN51" s="4">
        <f t="shared" si="63"/>
        <v>-3.0000000000000027E-2</v>
      </c>
      <c r="AO51" s="4">
        <f t="shared" si="63"/>
        <v>2.0000000000000018E-2</v>
      </c>
      <c r="AP51" s="4">
        <f t="shared" si="63"/>
        <v>-3.0000000000000138E-2</v>
      </c>
      <c r="AQ51" s="4">
        <f t="shared" si="63"/>
        <v>2.0000000000000018E-2</v>
      </c>
    </row>
    <row r="52" spans="1:43" x14ac:dyDescent="0.25">
      <c r="A52" t="s">
        <v>38</v>
      </c>
      <c r="C52" s="4">
        <f>C6/$B$6-1</f>
        <v>1.0000000000000009E-2</v>
      </c>
      <c r="D52" s="4">
        <f t="shared" ref="D52:AQ52" si="64">D6/$B$6-1</f>
        <v>-2.0300000000000096E-2</v>
      </c>
      <c r="E52" s="4">
        <f t="shared" si="64"/>
        <v>-1.050300000000004E-2</v>
      </c>
      <c r="F52" s="4">
        <f t="shared" si="64"/>
        <v>9.2869399999999658E-3</v>
      </c>
      <c r="G52" s="4">
        <f t="shared" si="64"/>
        <v>1.9379809399999948E-2</v>
      </c>
      <c r="H52" s="4">
        <f t="shared" si="64"/>
        <v>-1.1201584882000071E-2</v>
      </c>
      <c r="I52" s="4">
        <f t="shared" si="64"/>
        <v>-1.1201584882000071E-2</v>
      </c>
      <c r="J52" s="4">
        <f t="shared" si="64"/>
        <v>-1.1201584882000071E-2</v>
      </c>
      <c r="K52" s="4">
        <f t="shared" si="64"/>
        <v>-3.0977553184360129E-2</v>
      </c>
      <c r="L52" s="4">
        <f t="shared" si="64"/>
        <v>-1.9068797798909021E-3</v>
      </c>
      <c r="M52" s="4">
        <f t="shared" si="64"/>
        <v>-1.9068797798909021E-3</v>
      </c>
      <c r="N52" s="4">
        <f t="shared" si="64"/>
        <v>-1.9068797798909021E-3</v>
      </c>
      <c r="O52" s="4">
        <f t="shared" si="64"/>
        <v>-1.9068797798909021E-3</v>
      </c>
      <c r="P52" s="4">
        <f t="shared" si="64"/>
        <v>-4.1830604588695364E-2</v>
      </c>
      <c r="Q52" s="4">
        <f t="shared" si="64"/>
        <v>-1.3085522726356213E-2</v>
      </c>
      <c r="R52" s="4">
        <f t="shared" si="64"/>
        <v>1.6521911591853122E-2</v>
      </c>
      <c r="S52" s="4">
        <f t="shared" si="64"/>
        <v>2.6687130707771844E-2</v>
      </c>
      <c r="T52" s="4">
        <f t="shared" si="64"/>
        <v>5.7487744629004967E-2</v>
      </c>
      <c r="U52" s="4">
        <f t="shared" si="64"/>
        <v>4.6912867182715035E-2</v>
      </c>
      <c r="V52" s="4">
        <f t="shared" si="64"/>
        <v>2.5974609839060525E-2</v>
      </c>
      <c r="W52" s="4">
        <f t="shared" si="64"/>
        <v>5.4551176422792391E-3</v>
      </c>
      <c r="X52" s="4">
        <f t="shared" si="64"/>
        <v>1.5509668818702194E-2</v>
      </c>
      <c r="Y52" s="4">
        <f t="shared" si="64"/>
        <v>4.5974958883263195E-2</v>
      </c>
      <c r="Z52" s="4">
        <f t="shared" si="64"/>
        <v>3.5515209294430639E-2</v>
      </c>
      <c r="AA52" s="4">
        <f t="shared" si="64"/>
        <v>5.6225513480319345E-2</v>
      </c>
      <c r="AB52" s="4">
        <f t="shared" si="64"/>
        <v>9.8474534019532101E-2</v>
      </c>
      <c r="AC52" s="4">
        <f t="shared" si="64"/>
        <v>0.10945927935972732</v>
      </c>
      <c r="AD52" s="4">
        <f t="shared" si="64"/>
        <v>0.16493224332771383</v>
      </c>
      <c r="AE52" s="4">
        <f t="shared" si="64"/>
        <v>0.12998427602788243</v>
      </c>
      <c r="AF52" s="4">
        <f t="shared" si="64"/>
        <v>0.11868443326760381</v>
      </c>
      <c r="AG52" s="4">
        <f t="shared" si="64"/>
        <v>8.5123900269575614E-2</v>
      </c>
      <c r="AH52" s="4">
        <f t="shared" si="64"/>
        <v>0.11767761727766279</v>
      </c>
      <c r="AI52" s="4">
        <f t="shared" si="64"/>
        <v>8.4147288759332861E-2</v>
      </c>
      <c r="AJ52" s="4">
        <f t="shared" si="64"/>
        <v>0.10583023453451967</v>
      </c>
      <c r="AK52" s="4">
        <f t="shared" si="64"/>
        <v>9.4771932189174235E-2</v>
      </c>
      <c r="AL52" s="4">
        <f t="shared" si="64"/>
        <v>0.12761509015484962</v>
      </c>
      <c r="AM52" s="4">
        <f t="shared" si="64"/>
        <v>0.16144354285949514</v>
      </c>
      <c r="AN52" s="4">
        <f t="shared" si="64"/>
        <v>0.14982910743090017</v>
      </c>
      <c r="AO52" s="4">
        <f t="shared" si="64"/>
        <v>0.16132739850520927</v>
      </c>
      <c r="AP52" s="4">
        <f t="shared" si="64"/>
        <v>0.1961672204603655</v>
      </c>
      <c r="AQ52" s="4">
        <f t="shared" si="64"/>
        <v>0.1961672204603655</v>
      </c>
    </row>
    <row r="53" spans="1:43" x14ac:dyDescent="0.25">
      <c r="A53" t="s">
        <v>39</v>
      </c>
      <c r="C53" s="4" t="str">
        <f>IF(C50&lt;$B$14,"Y","N")</f>
        <v>N</v>
      </c>
      <c r="D53" s="4" t="str">
        <f t="shared" ref="D53:AQ53" si="65">IF(D50&lt;$B$14,"Y","N")</f>
        <v>N</v>
      </c>
      <c r="E53" s="4" t="str">
        <f t="shared" si="65"/>
        <v>N</v>
      </c>
      <c r="F53" s="4" t="str">
        <f t="shared" si="65"/>
        <v>N</v>
      </c>
      <c r="G53" s="4" t="str">
        <f t="shared" si="65"/>
        <v>N</v>
      </c>
      <c r="H53" s="4" t="str">
        <f t="shared" si="65"/>
        <v>N</v>
      </c>
      <c r="I53" s="4" t="str">
        <f t="shared" si="65"/>
        <v>N</v>
      </c>
      <c r="J53" s="4" t="str">
        <f t="shared" si="65"/>
        <v>N</v>
      </c>
      <c r="K53" s="4" t="str">
        <f t="shared" si="65"/>
        <v>N</v>
      </c>
      <c r="L53" s="4" t="str">
        <f t="shared" si="65"/>
        <v>N</v>
      </c>
      <c r="M53" s="4" t="str">
        <f t="shared" si="65"/>
        <v>N</v>
      </c>
      <c r="N53" s="4" t="str">
        <f t="shared" si="65"/>
        <v>N</v>
      </c>
      <c r="O53" s="4" t="str">
        <f t="shared" si="65"/>
        <v>N</v>
      </c>
      <c r="P53" s="4" t="str">
        <f t="shared" si="65"/>
        <v>Y</v>
      </c>
      <c r="Q53" s="4" t="str">
        <f t="shared" si="65"/>
        <v>N</v>
      </c>
      <c r="R53" s="4" t="str">
        <f t="shared" si="65"/>
        <v>N</v>
      </c>
      <c r="S53" s="4" t="str">
        <f t="shared" si="65"/>
        <v>N</v>
      </c>
      <c r="T53" s="4" t="str">
        <f t="shared" si="65"/>
        <v>N</v>
      </c>
      <c r="U53" s="4" t="str">
        <f t="shared" si="65"/>
        <v>N</v>
      </c>
      <c r="V53" s="4" t="str">
        <f t="shared" si="65"/>
        <v>N</v>
      </c>
      <c r="W53" s="4" t="str">
        <f t="shared" si="65"/>
        <v>N</v>
      </c>
      <c r="X53" s="4" t="str">
        <f t="shared" si="65"/>
        <v>N</v>
      </c>
      <c r="Y53" s="4" t="str">
        <f t="shared" si="65"/>
        <v>N</v>
      </c>
      <c r="Z53" s="4" t="str">
        <f t="shared" si="65"/>
        <v>N</v>
      </c>
      <c r="AA53" s="4" t="str">
        <f t="shared" si="65"/>
        <v>N</v>
      </c>
      <c r="AB53" s="4" t="str">
        <f t="shared" si="65"/>
        <v>N</v>
      </c>
      <c r="AC53" s="4" t="str">
        <f t="shared" si="65"/>
        <v>N</v>
      </c>
      <c r="AD53" s="4" t="str">
        <f t="shared" si="65"/>
        <v>N</v>
      </c>
      <c r="AE53" s="4" t="str">
        <f t="shared" si="65"/>
        <v>N</v>
      </c>
      <c r="AF53" s="4" t="str">
        <f t="shared" si="65"/>
        <v>N</v>
      </c>
      <c r="AG53" s="4" t="str">
        <f t="shared" si="65"/>
        <v>N</v>
      </c>
      <c r="AH53" s="4" t="str">
        <f t="shared" si="65"/>
        <v>N</v>
      </c>
      <c r="AI53" s="4" t="str">
        <f t="shared" si="65"/>
        <v>N</v>
      </c>
      <c r="AJ53" s="4" t="str">
        <f t="shared" si="65"/>
        <v>N</v>
      </c>
      <c r="AK53" s="4" t="str">
        <f t="shared" si="65"/>
        <v>N</v>
      </c>
      <c r="AL53" s="4" t="str">
        <f t="shared" si="65"/>
        <v>N</v>
      </c>
      <c r="AM53" s="4" t="str">
        <f t="shared" si="65"/>
        <v>N</v>
      </c>
      <c r="AN53" s="4" t="str">
        <f t="shared" si="65"/>
        <v>N</v>
      </c>
      <c r="AO53" s="4" t="str">
        <f t="shared" si="65"/>
        <v>N</v>
      </c>
      <c r="AP53" s="4" t="str">
        <f t="shared" si="65"/>
        <v>N</v>
      </c>
      <c r="AQ53" s="4" t="str">
        <f t="shared" si="65"/>
        <v>N</v>
      </c>
    </row>
    <row r="54" spans="1:43" x14ac:dyDescent="0.25">
      <c r="A54" t="s">
        <v>40</v>
      </c>
      <c r="C54" t="str">
        <f>IF(C51&gt;$B$15,"Y","N")</f>
        <v>N</v>
      </c>
      <c r="D54" t="str">
        <f t="shared" ref="D54:AQ54" si="66">IF(D51&gt;$B$15,"Y","N")</f>
        <v>N</v>
      </c>
      <c r="E54" t="str">
        <f t="shared" si="66"/>
        <v>N</v>
      </c>
      <c r="F54" t="str">
        <f t="shared" si="66"/>
        <v>N</v>
      </c>
      <c r="G54" t="str">
        <f t="shared" si="66"/>
        <v>N</v>
      </c>
      <c r="H54" t="str">
        <f t="shared" si="66"/>
        <v>N</v>
      </c>
      <c r="I54" t="str">
        <f t="shared" si="66"/>
        <v>N</v>
      </c>
      <c r="J54" t="str">
        <f t="shared" si="66"/>
        <v>N</v>
      </c>
      <c r="K54" t="str">
        <f t="shared" si="66"/>
        <v>N</v>
      </c>
      <c r="L54" t="str">
        <f t="shared" si="66"/>
        <v>N</v>
      </c>
      <c r="M54" t="str">
        <f t="shared" si="66"/>
        <v>N</v>
      </c>
      <c r="N54" t="str">
        <f t="shared" si="66"/>
        <v>N</v>
      </c>
      <c r="O54" t="str">
        <f t="shared" si="66"/>
        <v>N</v>
      </c>
      <c r="P54" t="str">
        <f t="shared" si="66"/>
        <v>N</v>
      </c>
      <c r="Q54" t="str">
        <f t="shared" si="66"/>
        <v>N</v>
      </c>
      <c r="R54" t="str">
        <f t="shared" si="66"/>
        <v>N</v>
      </c>
      <c r="S54" t="str">
        <f t="shared" si="66"/>
        <v>N</v>
      </c>
      <c r="T54" t="str">
        <f t="shared" si="66"/>
        <v>N</v>
      </c>
      <c r="U54" t="str">
        <f t="shared" si="66"/>
        <v>N</v>
      </c>
      <c r="V54" t="str">
        <f t="shared" si="66"/>
        <v>N</v>
      </c>
      <c r="W54" t="str">
        <f t="shared" si="66"/>
        <v>N</v>
      </c>
      <c r="X54" t="str">
        <f t="shared" si="66"/>
        <v>N</v>
      </c>
      <c r="Y54" t="str">
        <f t="shared" si="66"/>
        <v>Y</v>
      </c>
      <c r="Z54" t="str">
        <f t="shared" si="66"/>
        <v>N</v>
      </c>
      <c r="AA54" t="str">
        <f t="shared" si="66"/>
        <v>N</v>
      </c>
      <c r="AB54" t="str">
        <f t="shared" si="66"/>
        <v>N</v>
      </c>
      <c r="AC54" t="str">
        <f t="shared" si="66"/>
        <v>N</v>
      </c>
      <c r="AD54" t="str">
        <f t="shared" si="66"/>
        <v>N</v>
      </c>
      <c r="AE54" t="str">
        <f t="shared" si="66"/>
        <v>N</v>
      </c>
      <c r="AF54" t="str">
        <f t="shared" si="66"/>
        <v>N</v>
      </c>
      <c r="AG54" t="str">
        <f t="shared" si="66"/>
        <v>Y</v>
      </c>
      <c r="AH54" t="str">
        <f t="shared" si="66"/>
        <v>N</v>
      </c>
      <c r="AI54" t="str">
        <f t="shared" si="66"/>
        <v>N</v>
      </c>
      <c r="AJ54" t="str">
        <f t="shared" si="66"/>
        <v>N</v>
      </c>
      <c r="AK54" t="str">
        <f t="shared" si="66"/>
        <v>N</v>
      </c>
      <c r="AL54" t="str">
        <f t="shared" si="66"/>
        <v>N</v>
      </c>
      <c r="AM54" t="str">
        <f t="shared" si="66"/>
        <v>N</v>
      </c>
      <c r="AN54" t="str">
        <f t="shared" si="66"/>
        <v>N</v>
      </c>
      <c r="AO54" t="str">
        <f t="shared" si="66"/>
        <v>N</v>
      </c>
      <c r="AP54" t="str">
        <f t="shared" si="66"/>
        <v>N</v>
      </c>
      <c r="AQ54" t="str">
        <f t="shared" si="66"/>
        <v>N</v>
      </c>
    </row>
    <row r="55" spans="1:43" x14ac:dyDescent="0.25">
      <c r="A55" t="s">
        <v>41</v>
      </c>
      <c r="C55" t="str">
        <f>IF(C52&gt;$B$16,"Y","N")</f>
        <v>N</v>
      </c>
      <c r="D55" t="str">
        <f t="shared" ref="D55:AQ55" si="67">IF(D52&gt;$B$16,"Y","N")</f>
        <v>N</v>
      </c>
      <c r="E55" t="str">
        <f t="shared" si="67"/>
        <v>N</v>
      </c>
      <c r="F55" t="str">
        <f t="shared" si="67"/>
        <v>N</v>
      </c>
      <c r="G55" t="str">
        <f t="shared" si="67"/>
        <v>N</v>
      </c>
      <c r="H55" t="str">
        <f t="shared" si="67"/>
        <v>N</v>
      </c>
      <c r="I55" t="str">
        <f t="shared" si="67"/>
        <v>N</v>
      </c>
      <c r="J55" t="str">
        <f t="shared" si="67"/>
        <v>N</v>
      </c>
      <c r="K55" t="str">
        <f t="shared" si="67"/>
        <v>N</v>
      </c>
      <c r="L55" t="str">
        <f t="shared" si="67"/>
        <v>N</v>
      </c>
      <c r="M55" t="str">
        <f t="shared" si="67"/>
        <v>N</v>
      </c>
      <c r="N55" t="str">
        <f t="shared" si="67"/>
        <v>N</v>
      </c>
      <c r="O55" t="str">
        <f t="shared" si="67"/>
        <v>N</v>
      </c>
      <c r="P55" t="str">
        <f t="shared" si="67"/>
        <v>N</v>
      </c>
      <c r="Q55" t="str">
        <f t="shared" si="67"/>
        <v>N</v>
      </c>
      <c r="R55" t="str">
        <f t="shared" si="67"/>
        <v>N</v>
      </c>
      <c r="S55" t="str">
        <f t="shared" si="67"/>
        <v>N</v>
      </c>
      <c r="T55" t="str">
        <f t="shared" si="67"/>
        <v>N</v>
      </c>
      <c r="U55" t="str">
        <f t="shared" si="67"/>
        <v>N</v>
      </c>
      <c r="V55" t="str">
        <f t="shared" si="67"/>
        <v>N</v>
      </c>
      <c r="W55" t="str">
        <f t="shared" si="67"/>
        <v>N</v>
      </c>
      <c r="X55" t="str">
        <f t="shared" si="67"/>
        <v>N</v>
      </c>
      <c r="Y55" t="str">
        <f t="shared" si="67"/>
        <v>N</v>
      </c>
      <c r="Z55" t="str">
        <f t="shared" si="67"/>
        <v>N</v>
      </c>
      <c r="AA55" t="str">
        <f t="shared" si="67"/>
        <v>N</v>
      </c>
      <c r="AB55" t="str">
        <f t="shared" si="67"/>
        <v>N</v>
      </c>
      <c r="AC55" t="str">
        <f t="shared" si="67"/>
        <v>N</v>
      </c>
      <c r="AD55" t="str">
        <f t="shared" si="67"/>
        <v>N</v>
      </c>
      <c r="AE55" t="str">
        <f t="shared" si="67"/>
        <v>N</v>
      </c>
      <c r="AF55" t="str">
        <f t="shared" si="67"/>
        <v>N</v>
      </c>
      <c r="AG55" t="str">
        <f t="shared" si="67"/>
        <v>N</v>
      </c>
      <c r="AH55" t="str">
        <f t="shared" si="67"/>
        <v>N</v>
      </c>
      <c r="AI55" t="str">
        <f t="shared" si="67"/>
        <v>N</v>
      </c>
      <c r="AJ55" t="str">
        <f t="shared" si="67"/>
        <v>N</v>
      </c>
      <c r="AK55" t="str">
        <f t="shared" si="67"/>
        <v>N</v>
      </c>
      <c r="AL55" t="str">
        <f t="shared" si="67"/>
        <v>N</v>
      </c>
      <c r="AM55" t="str">
        <f t="shared" si="67"/>
        <v>N</v>
      </c>
      <c r="AN55" t="str">
        <f t="shared" si="67"/>
        <v>N</v>
      </c>
      <c r="AO55" t="str">
        <f t="shared" si="67"/>
        <v>N</v>
      </c>
      <c r="AP55" t="str">
        <f t="shared" si="67"/>
        <v>N</v>
      </c>
      <c r="AQ55" t="str">
        <f t="shared" si="67"/>
        <v>N</v>
      </c>
    </row>
    <row r="56" spans="1:43" x14ac:dyDescent="0.25">
      <c r="A56" t="s">
        <v>42</v>
      </c>
      <c r="B56" s="7">
        <f>B6-B10</f>
        <v>240</v>
      </c>
      <c r="C56" s="7">
        <f t="shared" ref="C56:AQ56" si="68">C6-C10</f>
        <v>242.2</v>
      </c>
      <c r="D56" s="7">
        <f t="shared" si="68"/>
        <v>234.93399999999997</v>
      </c>
      <c r="E56" s="7">
        <f t="shared" si="68"/>
        <v>237.38324999999998</v>
      </c>
      <c r="F56" s="7">
        <f t="shared" si="68"/>
        <v>242.430645</v>
      </c>
      <c r="G56" s="7">
        <f t="shared" si="68"/>
        <v>245.25059504999999</v>
      </c>
      <c r="H56" s="7">
        <f t="shared" si="68"/>
        <v>237.60524647949998</v>
      </c>
      <c r="I56" s="7">
        <f t="shared" si="68"/>
        <v>237.31741576049998</v>
      </c>
      <c r="J56" s="7">
        <f t="shared" si="68"/>
        <v>237.21859388030998</v>
      </c>
      <c r="K56" s="7">
        <f t="shared" si="68"/>
        <v>232.27460180471996</v>
      </c>
      <c r="L56" s="7">
        <f t="shared" si="68"/>
        <v>239.54227015583726</v>
      </c>
      <c r="M56" s="7">
        <f t="shared" si="68"/>
        <v>239.54227015583726</v>
      </c>
      <c r="N56" s="7">
        <f t="shared" si="68"/>
        <v>239.34264995785347</v>
      </c>
      <c r="O56" s="7">
        <f t="shared" si="68"/>
        <v>239.64806886076869</v>
      </c>
      <c r="P56" s="7">
        <f t="shared" si="68"/>
        <v>229.46963343468241</v>
      </c>
      <c r="Q56" s="7">
        <f t="shared" si="68"/>
        <v>236.55517674608575</v>
      </c>
      <c r="R56" s="7">
        <f t="shared" si="68"/>
        <v>243.65183204846835</v>
      </c>
      <c r="S56" s="7">
        <f t="shared" si="68"/>
        <v>245.87877745196315</v>
      </c>
      <c r="T56" s="7">
        <f t="shared" si="68"/>
        <v>253.57893093227145</v>
      </c>
      <c r="U56" s="7">
        <f t="shared" si="68"/>
        <v>250.71935146619936</v>
      </c>
      <c r="V56" s="7">
        <f t="shared" si="68"/>
        <v>244.93434386381179</v>
      </c>
      <c r="W56" s="7">
        <f t="shared" si="68"/>
        <v>239.80447081461648</v>
      </c>
      <c r="X56" s="7">
        <f t="shared" si="68"/>
        <v>242.78048095256031</v>
      </c>
      <c r="Y56" s="7">
        <f t="shared" si="68"/>
        <v>249.50904856853137</v>
      </c>
      <c r="Z56" s="7">
        <f t="shared" si="68"/>
        <v>246.8941111713232</v>
      </c>
      <c r="AA56" s="7">
        <f t="shared" si="68"/>
        <v>251.71214648322683</v>
      </c>
      <c r="AB56" s="7">
        <f t="shared" si="68"/>
        <v>262.27440161803003</v>
      </c>
      <c r="AC56" s="7">
        <f t="shared" si="68"/>
        <v>264.65026099647326</v>
      </c>
      <c r="AD56" s="7">
        <f t="shared" si="68"/>
        <v>278.89993875377365</v>
      </c>
      <c r="AE56" s="7">
        <f t="shared" si="68"/>
        <v>270.53294059116047</v>
      </c>
      <c r="AF56" s="7">
        <f t="shared" si="68"/>
        <v>267.70797990109077</v>
      </c>
      <c r="AG56" s="7">
        <f t="shared" si="68"/>
        <v>258.6000589466351</v>
      </c>
      <c r="AH56" s="7">
        <f t="shared" si="68"/>
        <v>266.73848819865691</v>
      </c>
      <c r="AI56" s="7">
        <f t="shared" si="68"/>
        <v>257.84866942424412</v>
      </c>
      <c r="AJ56" s="7">
        <f t="shared" si="68"/>
        <v>263.26940586804079</v>
      </c>
      <c r="AK56" s="7">
        <f t="shared" si="68"/>
        <v>260.50483028170447</v>
      </c>
      <c r="AL56" s="7">
        <f t="shared" si="68"/>
        <v>268.84750130077919</v>
      </c>
      <c r="AM56" s="7">
        <f t="shared" si="68"/>
        <v>277.30461447694057</v>
      </c>
      <c r="AN56" s="7">
        <f t="shared" si="68"/>
        <v>274.79269375692979</v>
      </c>
      <c r="AO56" s="7">
        <f t="shared" si="68"/>
        <v>277.41397486349115</v>
      </c>
      <c r="AP56" s="7">
        <f t="shared" si="68"/>
        <v>286.51146659516456</v>
      </c>
      <c r="AQ56" s="7">
        <f t="shared" si="68"/>
        <v>286.26085982476604</v>
      </c>
    </row>
    <row r="57" spans="1:43" x14ac:dyDescent="0.25">
      <c r="A57" t="s">
        <v>43</v>
      </c>
      <c r="B57" s="7"/>
      <c r="C57" s="4">
        <f>C56/$B$56-1</f>
        <v>9.1666666666665453E-3</v>
      </c>
      <c r="D57" s="4">
        <f t="shared" ref="D57:AQ57" si="69">D56/$B$56-1</f>
        <v>-2.1108333333333507E-2</v>
      </c>
      <c r="E57" s="4">
        <f t="shared" si="69"/>
        <v>-1.0903125000000125E-2</v>
      </c>
      <c r="F57" s="4">
        <f t="shared" si="69"/>
        <v>1.0127687500000038E-2</v>
      </c>
      <c r="G57" s="4">
        <f t="shared" si="69"/>
        <v>2.1877479374999842E-2</v>
      </c>
      <c r="H57" s="4">
        <f t="shared" si="69"/>
        <v>-9.9781396687500523E-3</v>
      </c>
      <c r="I57" s="4">
        <f t="shared" si="69"/>
        <v>-1.1177434331250069E-2</v>
      </c>
      <c r="J57" s="4">
        <f t="shared" si="69"/>
        <v>-1.1589192165375128E-2</v>
      </c>
      <c r="K57" s="4">
        <f t="shared" si="69"/>
        <v>-3.2189159147000157E-2</v>
      </c>
      <c r="L57" s="4">
        <f t="shared" si="69"/>
        <v>-1.9072076840114249E-3</v>
      </c>
      <c r="M57" s="4">
        <f t="shared" si="69"/>
        <v>-1.9072076840114249E-3</v>
      </c>
      <c r="N57" s="4">
        <f t="shared" si="69"/>
        <v>-2.7389585089439006E-3</v>
      </c>
      <c r="O57" s="4">
        <f t="shared" si="69"/>
        <v>-1.4663797467970863E-3</v>
      </c>
      <c r="P57" s="4">
        <f t="shared" si="69"/>
        <v>-4.3876527355489969E-2</v>
      </c>
      <c r="Q57" s="4">
        <f t="shared" si="69"/>
        <v>-1.4353430224642749E-2</v>
      </c>
      <c r="R57" s="4">
        <f t="shared" si="69"/>
        <v>1.5215966868618036E-2</v>
      </c>
      <c r="S57" s="4">
        <f t="shared" si="69"/>
        <v>2.4494906049846499E-2</v>
      </c>
      <c r="T57" s="4">
        <f t="shared" si="69"/>
        <v>5.6578878884464334E-2</v>
      </c>
      <c r="U57" s="4">
        <f t="shared" si="69"/>
        <v>4.4663964442497317E-2</v>
      </c>
      <c r="V57" s="4">
        <f t="shared" si="69"/>
        <v>2.0559766099215837E-2</v>
      </c>
      <c r="W57" s="4">
        <f t="shared" si="69"/>
        <v>-8.1470493909796549E-4</v>
      </c>
      <c r="X57" s="4">
        <f t="shared" si="69"/>
        <v>1.1585337302334686E-2</v>
      </c>
      <c r="Y57" s="4">
        <f t="shared" si="69"/>
        <v>3.962103570221398E-2</v>
      </c>
      <c r="Z57" s="4">
        <f t="shared" si="69"/>
        <v>2.8725463213846725E-2</v>
      </c>
      <c r="AA57" s="4">
        <f t="shared" si="69"/>
        <v>4.8800610346778406E-2</v>
      </c>
      <c r="AB57" s="4">
        <f t="shared" si="69"/>
        <v>9.2810006741791851E-2</v>
      </c>
      <c r="AC57" s="4">
        <f t="shared" si="69"/>
        <v>0.10270942081863854</v>
      </c>
      <c r="AD57" s="4">
        <f t="shared" si="69"/>
        <v>0.16208307814072365</v>
      </c>
      <c r="AE57" s="4">
        <f t="shared" si="69"/>
        <v>0.12722058579650186</v>
      </c>
      <c r="AF57" s="4">
        <f t="shared" si="69"/>
        <v>0.11544991625454482</v>
      </c>
      <c r="AG57" s="4">
        <f t="shared" si="69"/>
        <v>7.7500245610979679E-2</v>
      </c>
      <c r="AH57" s="4">
        <f t="shared" si="69"/>
        <v>0.11141036749440381</v>
      </c>
      <c r="AI57" s="4">
        <f t="shared" si="69"/>
        <v>7.4369455934350404E-2</v>
      </c>
      <c r="AJ57" s="4">
        <f t="shared" si="69"/>
        <v>9.6955857783503241E-2</v>
      </c>
      <c r="AK57" s="4">
        <f t="shared" si="69"/>
        <v>8.5436792840435372E-2</v>
      </c>
      <c r="AL57" s="4">
        <f t="shared" si="69"/>
        <v>0.12019792208657987</v>
      </c>
      <c r="AM57" s="4">
        <f t="shared" si="69"/>
        <v>0.15543589365391908</v>
      </c>
      <c r="AN57" s="4">
        <f t="shared" si="69"/>
        <v>0.14496955732054073</v>
      </c>
      <c r="AO57" s="4">
        <f t="shared" si="69"/>
        <v>0.15589156193121312</v>
      </c>
      <c r="AP57" s="4">
        <f t="shared" si="69"/>
        <v>0.19379777747985227</v>
      </c>
      <c r="AQ57" s="4">
        <f t="shared" si="69"/>
        <v>0.19275358260319186</v>
      </c>
    </row>
    <row r="58" spans="1:43" x14ac:dyDescent="0.25">
      <c r="A58" t="s">
        <v>44</v>
      </c>
      <c r="C58" t="str">
        <f>IF(C57&lt;$B$17,"Y","N")</f>
        <v>N</v>
      </c>
      <c r="D58" t="str">
        <f t="shared" ref="D58" si="70">IF(D57&lt;$B$17,"Y","N")</f>
        <v>N</v>
      </c>
      <c r="E58" t="str">
        <f t="shared" ref="E58" si="71">IF(E57&lt;$B$17,"Y","N")</f>
        <v>N</v>
      </c>
      <c r="F58" t="str">
        <f t="shared" ref="F58" si="72">IF(F57&lt;$B$17,"Y","N")</f>
        <v>N</v>
      </c>
      <c r="G58" t="str">
        <f t="shared" ref="G58" si="73">IF(G57&lt;$B$17,"Y","N")</f>
        <v>N</v>
      </c>
      <c r="H58" t="str">
        <f t="shared" ref="H58" si="74">IF(H57&lt;$B$17,"Y","N")</f>
        <v>N</v>
      </c>
      <c r="I58" t="str">
        <f t="shared" ref="I58" si="75">IF(I57&lt;$B$17,"Y","N")</f>
        <v>N</v>
      </c>
      <c r="J58" t="str">
        <f t="shared" ref="J58" si="76">IF(J57&lt;$B$17,"Y","N")</f>
        <v>N</v>
      </c>
      <c r="K58" t="str">
        <f t="shared" ref="K58" si="77">IF(K57&lt;$B$17,"Y","N")</f>
        <v>N</v>
      </c>
      <c r="L58" t="str">
        <f t="shared" ref="L58" si="78">IF(L57&lt;$B$17,"Y","N")</f>
        <v>N</v>
      </c>
      <c r="M58" t="str">
        <f t="shared" ref="M58" si="79">IF(M57&lt;$B$17,"Y","N")</f>
        <v>N</v>
      </c>
      <c r="N58" t="str">
        <f t="shared" ref="N58" si="80">IF(N57&lt;$B$17,"Y","N")</f>
        <v>N</v>
      </c>
      <c r="O58" t="str">
        <f t="shared" ref="O58" si="81">IF(O57&lt;$B$17,"Y","N")</f>
        <v>N</v>
      </c>
      <c r="P58" t="str">
        <f t="shared" ref="P58" si="82">IF(P57&lt;$B$17,"Y","N")</f>
        <v>N</v>
      </c>
      <c r="Q58" t="str">
        <f t="shared" ref="Q58" si="83">IF(Q57&lt;$B$17,"Y","N")</f>
        <v>N</v>
      </c>
      <c r="R58" t="str">
        <f t="shared" ref="R58" si="84">IF(R57&lt;$B$17,"Y","N")</f>
        <v>N</v>
      </c>
      <c r="S58" t="str">
        <f t="shared" ref="S58" si="85">IF(S57&lt;$B$17,"Y","N")</f>
        <v>N</v>
      </c>
      <c r="T58" t="str">
        <f t="shared" ref="T58" si="86">IF(T57&lt;$B$17,"Y","N")</f>
        <v>N</v>
      </c>
      <c r="U58" t="str">
        <f t="shared" ref="U58" si="87">IF(U57&lt;$B$17,"Y","N")</f>
        <v>N</v>
      </c>
      <c r="V58" t="str">
        <f t="shared" ref="V58" si="88">IF(V57&lt;$B$17,"Y","N")</f>
        <v>N</v>
      </c>
      <c r="W58" t="str">
        <f t="shared" ref="W58" si="89">IF(W57&lt;$B$17,"Y","N")</f>
        <v>N</v>
      </c>
      <c r="X58" t="str">
        <f t="shared" ref="X58" si="90">IF(X57&lt;$B$17,"Y","N")</f>
        <v>N</v>
      </c>
      <c r="Y58" t="str">
        <f t="shared" ref="Y58" si="91">IF(Y57&lt;$B$17,"Y","N")</f>
        <v>N</v>
      </c>
      <c r="Z58" t="str">
        <f t="shared" ref="Z58" si="92">IF(Z57&lt;$B$17,"Y","N")</f>
        <v>N</v>
      </c>
      <c r="AA58" t="str">
        <f t="shared" ref="AA58" si="93">IF(AA57&lt;$B$17,"Y","N")</f>
        <v>N</v>
      </c>
      <c r="AB58" t="str">
        <f t="shared" ref="AB58" si="94">IF(AB57&lt;$B$17,"Y","N")</f>
        <v>N</v>
      </c>
      <c r="AC58" t="str">
        <f t="shared" ref="AC58" si="95">IF(AC57&lt;$B$17,"Y","N")</f>
        <v>N</v>
      </c>
      <c r="AD58" t="str">
        <f t="shared" ref="AD58" si="96">IF(AD57&lt;$B$17,"Y","N")</f>
        <v>N</v>
      </c>
      <c r="AE58" t="str">
        <f t="shared" ref="AE58" si="97">IF(AE57&lt;$B$17,"Y","N")</f>
        <v>N</v>
      </c>
      <c r="AF58" t="str">
        <f t="shared" ref="AF58" si="98">IF(AF57&lt;$B$17,"Y","N")</f>
        <v>N</v>
      </c>
      <c r="AG58" t="str">
        <f t="shared" ref="AG58" si="99">IF(AG57&lt;$B$17,"Y","N")</f>
        <v>N</v>
      </c>
      <c r="AH58" t="str">
        <f t="shared" ref="AH58" si="100">IF(AH57&lt;$B$17,"Y","N")</f>
        <v>N</v>
      </c>
      <c r="AI58" t="str">
        <f t="shared" ref="AI58" si="101">IF(AI57&lt;$B$17,"Y","N")</f>
        <v>N</v>
      </c>
      <c r="AJ58" t="str">
        <f t="shared" ref="AJ58" si="102">IF(AJ57&lt;$B$17,"Y","N")</f>
        <v>N</v>
      </c>
      <c r="AK58" t="str">
        <f t="shared" ref="AK58" si="103">IF(AK57&lt;$B$17,"Y","N")</f>
        <v>N</v>
      </c>
      <c r="AL58" t="str">
        <f t="shared" ref="AL58" si="104">IF(AL57&lt;$B$17,"Y","N")</f>
        <v>N</v>
      </c>
      <c r="AM58" t="str">
        <f t="shared" ref="AM58" si="105">IF(AM57&lt;$B$17,"Y","N")</f>
        <v>N</v>
      </c>
      <c r="AN58" t="str">
        <f t="shared" ref="AN58" si="106">IF(AN57&lt;$B$17,"Y","N")</f>
        <v>N</v>
      </c>
      <c r="AO58" t="str">
        <f t="shared" ref="AO58" si="107">IF(AO57&lt;$B$17,"Y","N")</f>
        <v>N</v>
      </c>
      <c r="AP58" t="str">
        <f t="shared" ref="AP58" si="108">IF(AP57&lt;$B$17,"Y","N")</f>
        <v>N</v>
      </c>
      <c r="AQ58" t="str">
        <f t="shared" ref="AQ58" si="109">IF(AQ57&lt;$B$17,"Y","N")</f>
        <v>N</v>
      </c>
    </row>
    <row r="59" spans="1:43" x14ac:dyDescent="0.25">
      <c r="A59" t="s">
        <v>45</v>
      </c>
      <c r="B59" t="str">
        <f>IF(B56&lt;$B$21,"Y","N")</f>
        <v>N</v>
      </c>
      <c r="C59" t="str">
        <f t="shared" ref="C59:AQ59" si="110">IF(C56&lt;$B$21,"Y","N")</f>
        <v>N</v>
      </c>
      <c r="D59" t="str">
        <f t="shared" si="110"/>
        <v>N</v>
      </c>
      <c r="E59" t="str">
        <f t="shared" si="110"/>
        <v>N</v>
      </c>
      <c r="F59" t="str">
        <f t="shared" si="110"/>
        <v>N</v>
      </c>
      <c r="G59" t="str">
        <f t="shared" si="110"/>
        <v>N</v>
      </c>
      <c r="H59" t="str">
        <f t="shared" si="110"/>
        <v>N</v>
      </c>
      <c r="I59" t="str">
        <f t="shared" si="110"/>
        <v>N</v>
      </c>
      <c r="J59" t="str">
        <f t="shared" si="110"/>
        <v>N</v>
      </c>
      <c r="K59" t="str">
        <f t="shared" si="110"/>
        <v>N</v>
      </c>
      <c r="L59" t="str">
        <f t="shared" si="110"/>
        <v>N</v>
      </c>
      <c r="M59" t="str">
        <f t="shared" si="110"/>
        <v>N</v>
      </c>
      <c r="N59" t="str">
        <f t="shared" si="110"/>
        <v>N</v>
      </c>
      <c r="O59" t="str">
        <f t="shared" si="110"/>
        <v>N</v>
      </c>
      <c r="P59" t="str">
        <f t="shared" si="110"/>
        <v>N</v>
      </c>
      <c r="Q59" t="str">
        <f t="shared" si="110"/>
        <v>N</v>
      </c>
      <c r="R59" t="str">
        <f t="shared" si="110"/>
        <v>N</v>
      </c>
      <c r="S59" t="str">
        <f t="shared" si="110"/>
        <v>N</v>
      </c>
      <c r="T59" t="str">
        <f t="shared" si="110"/>
        <v>N</v>
      </c>
      <c r="U59" t="str">
        <f t="shared" si="110"/>
        <v>N</v>
      </c>
      <c r="V59" t="str">
        <f t="shared" si="110"/>
        <v>N</v>
      </c>
      <c r="W59" t="str">
        <f t="shared" si="110"/>
        <v>N</v>
      </c>
      <c r="X59" t="str">
        <f t="shared" si="110"/>
        <v>N</v>
      </c>
      <c r="Y59" t="str">
        <f t="shared" si="110"/>
        <v>N</v>
      </c>
      <c r="Z59" t="str">
        <f t="shared" si="110"/>
        <v>N</v>
      </c>
      <c r="AA59" t="str">
        <f t="shared" si="110"/>
        <v>N</v>
      </c>
      <c r="AB59" t="str">
        <f t="shared" si="110"/>
        <v>N</v>
      </c>
      <c r="AC59" t="str">
        <f t="shared" si="110"/>
        <v>N</v>
      </c>
      <c r="AD59" t="str">
        <f t="shared" si="110"/>
        <v>N</v>
      </c>
      <c r="AE59" t="str">
        <f t="shared" si="110"/>
        <v>N</v>
      </c>
      <c r="AF59" t="str">
        <f t="shared" si="110"/>
        <v>N</v>
      </c>
      <c r="AG59" t="str">
        <f t="shared" si="110"/>
        <v>N</v>
      </c>
      <c r="AH59" t="str">
        <f t="shared" si="110"/>
        <v>N</v>
      </c>
      <c r="AI59" t="str">
        <f t="shared" si="110"/>
        <v>N</v>
      </c>
      <c r="AJ59" t="str">
        <f t="shared" si="110"/>
        <v>N</v>
      </c>
      <c r="AK59" t="str">
        <f t="shared" si="110"/>
        <v>N</v>
      </c>
      <c r="AL59" t="str">
        <f t="shared" si="110"/>
        <v>N</v>
      </c>
      <c r="AM59" t="str">
        <f t="shared" si="110"/>
        <v>N</v>
      </c>
      <c r="AN59" t="str">
        <f t="shared" si="110"/>
        <v>N</v>
      </c>
      <c r="AO59" t="str">
        <f t="shared" si="110"/>
        <v>N</v>
      </c>
      <c r="AP59" t="str">
        <f t="shared" si="110"/>
        <v>N</v>
      </c>
      <c r="AQ59" t="str">
        <f t="shared" si="110"/>
        <v>N</v>
      </c>
    </row>
    <row r="60" spans="1:43" x14ac:dyDescent="0.25">
      <c r="A60" t="s">
        <v>46</v>
      </c>
      <c r="B60" s="6">
        <f>0.9*B6-1.2*B10</f>
        <v>213</v>
      </c>
      <c r="C60" s="6">
        <f t="shared" ref="C60:AQ60" si="111">0.9*C6-1.2*C10</f>
        <v>214.89</v>
      </c>
      <c r="D60" s="6">
        <f t="shared" si="111"/>
        <v>208.44329999999997</v>
      </c>
      <c r="E60" s="6">
        <f t="shared" si="111"/>
        <v>210.64762499999998</v>
      </c>
      <c r="F60" s="6">
        <f t="shared" si="111"/>
        <v>215.22025350000001</v>
      </c>
      <c r="G60" s="6">
        <f t="shared" si="111"/>
        <v>217.847228355</v>
      </c>
      <c r="H60" s="6">
        <f t="shared" si="111"/>
        <v>210.96641464154999</v>
      </c>
      <c r="I60" s="6">
        <f t="shared" si="111"/>
        <v>210.62101777875</v>
      </c>
      <c r="J60" s="6">
        <f t="shared" si="111"/>
        <v>210.50243152252199</v>
      </c>
      <c r="K60" s="6">
        <f t="shared" si="111"/>
        <v>206.05283865449098</v>
      </c>
      <c r="L60" s="6">
        <f t="shared" si="111"/>
        <v>212.59374017049655</v>
      </c>
      <c r="M60" s="6">
        <f t="shared" si="111"/>
        <v>212.59374017049655</v>
      </c>
      <c r="N60" s="6">
        <f t="shared" si="111"/>
        <v>212.35419593291599</v>
      </c>
      <c r="O60" s="6">
        <f t="shared" si="111"/>
        <v>212.72069861641424</v>
      </c>
      <c r="P60" s="6">
        <f t="shared" si="111"/>
        <v>203.50085546577105</v>
      </c>
      <c r="Q60" s="6">
        <f t="shared" si="111"/>
        <v>209.84762629977962</v>
      </c>
      <c r="R60" s="6">
        <f t="shared" si="111"/>
        <v>216.143055088773</v>
      </c>
      <c r="S60" s="6">
        <f t="shared" si="111"/>
        <v>218.05299813927289</v>
      </c>
      <c r="T60" s="6">
        <f t="shared" si="111"/>
        <v>224.98313627155036</v>
      </c>
      <c r="U60" s="6">
        <f t="shared" si="111"/>
        <v>222.3447567207356</v>
      </c>
      <c r="V60" s="6">
        <f t="shared" si="111"/>
        <v>216.97311689864461</v>
      </c>
      <c r="W60" s="6">
        <f t="shared" si="111"/>
        <v>212.3562311543688</v>
      </c>
      <c r="X60" s="6">
        <f t="shared" si="111"/>
        <v>215.17335198166973</v>
      </c>
      <c r="Y60" s="6">
        <f t="shared" si="111"/>
        <v>220.9627363659929</v>
      </c>
      <c r="Z60" s="6">
        <f t="shared" si="111"/>
        <v>218.60929270850554</v>
      </c>
      <c r="AA60" s="6">
        <f t="shared" si="111"/>
        <v>222.83766226884825</v>
      </c>
      <c r="AB60" s="6">
        <f t="shared" si="111"/>
        <v>232.34369189017113</v>
      </c>
      <c r="AC60" s="6">
        <f t="shared" si="111"/>
        <v>234.37086724378838</v>
      </c>
      <c r="AD60" s="6">
        <f t="shared" si="111"/>
        <v>247.31000825494982</v>
      </c>
      <c r="AE60" s="6">
        <f t="shared" si="111"/>
        <v>239.89070800730138</v>
      </c>
      <c r="AF60" s="6">
        <f t="shared" si="111"/>
        <v>237.34824338623864</v>
      </c>
      <c r="AG60" s="6">
        <f t="shared" si="111"/>
        <v>228.93577821574399</v>
      </c>
      <c r="AH60" s="6">
        <f t="shared" si="111"/>
        <v>236.26036454256362</v>
      </c>
      <c r="AI60" s="6">
        <f t="shared" si="111"/>
        <v>228.10735665214295</v>
      </c>
      <c r="AJ60" s="6">
        <f t="shared" si="111"/>
        <v>232.98601945155997</v>
      </c>
      <c r="AK60" s="6">
        <f t="shared" si="111"/>
        <v>230.49790142385729</v>
      </c>
      <c r="AL60" s="6">
        <f t="shared" si="111"/>
        <v>238.04586979932128</v>
      </c>
      <c r="AM60" s="6">
        <f t="shared" si="111"/>
        <v>245.65727165786654</v>
      </c>
      <c r="AN60" s="6">
        <f t="shared" si="111"/>
        <v>243.51404945099824</v>
      </c>
      <c r="AO60" s="6">
        <f t="shared" si="111"/>
        <v>245.79721494829869</v>
      </c>
      <c r="AP60" s="6">
        <f t="shared" si="111"/>
        <v>254.10121837967009</v>
      </c>
      <c r="AQ60" s="6">
        <f t="shared" si="111"/>
        <v>253.80049025519185</v>
      </c>
    </row>
  </sheetData>
  <sortState xmlns:xlrd2="http://schemas.microsoft.com/office/spreadsheetml/2017/richdata2" ref="E34:E73">
    <sortCondition ref="E34"/>
  </sortState>
  <conditionalFormatting sqref="C27:AQ28">
    <cfRule type="containsText" dxfId="11" priority="12" operator="containsText" text="Y">
      <formula>NOT(ISERROR(SEARCH("Y",C27)))</formula>
    </cfRule>
  </conditionalFormatting>
  <conditionalFormatting sqref="C29:AQ29">
    <cfRule type="containsText" dxfId="10" priority="11" operator="containsText" text="Y">
      <formula>NOT(ISERROR(SEARCH("Y",C29)))</formula>
    </cfRule>
  </conditionalFormatting>
  <conditionalFormatting sqref="C32:AQ32">
    <cfRule type="containsText" dxfId="9" priority="10" operator="containsText" text="Y">
      <formula>NOT(ISERROR(SEARCH("Y",C32)))</formula>
    </cfRule>
  </conditionalFormatting>
  <conditionalFormatting sqref="B33:AQ33">
    <cfRule type="containsText" dxfId="8" priority="9" operator="containsText" text="Y">
      <formula>NOT(ISERROR(SEARCH("Y",B33)))</formula>
    </cfRule>
  </conditionalFormatting>
  <conditionalFormatting sqref="C40:AQ41">
    <cfRule type="containsText" dxfId="7" priority="8" operator="containsText" text="Y">
      <formula>NOT(ISERROR(SEARCH("Y",C40)))</formula>
    </cfRule>
  </conditionalFormatting>
  <conditionalFormatting sqref="C42:AQ42">
    <cfRule type="containsText" dxfId="6" priority="7" operator="containsText" text="Y">
      <formula>NOT(ISERROR(SEARCH("Y",C42)))</formula>
    </cfRule>
  </conditionalFormatting>
  <conditionalFormatting sqref="C45:AQ45">
    <cfRule type="containsText" dxfId="5" priority="6" operator="containsText" text="Y">
      <formula>NOT(ISERROR(SEARCH("Y",C45)))</formula>
    </cfRule>
  </conditionalFormatting>
  <conditionalFormatting sqref="B46:AQ46">
    <cfRule type="containsText" dxfId="4" priority="5" operator="containsText" text="Y">
      <formula>NOT(ISERROR(SEARCH("Y",B46)))</formula>
    </cfRule>
  </conditionalFormatting>
  <conditionalFormatting sqref="C53:AQ54">
    <cfRule type="containsText" dxfId="3" priority="4" operator="containsText" text="Y">
      <formula>NOT(ISERROR(SEARCH("Y",C53)))</formula>
    </cfRule>
  </conditionalFormatting>
  <conditionalFormatting sqref="C55:AQ55">
    <cfRule type="containsText" dxfId="2" priority="3" operator="containsText" text="Y">
      <formula>NOT(ISERROR(SEARCH("Y",C55)))</formula>
    </cfRule>
  </conditionalFormatting>
  <conditionalFormatting sqref="C58:AQ58">
    <cfRule type="containsText" dxfId="1" priority="2" operator="containsText" text="Y">
      <formula>NOT(ISERROR(SEARCH("Y",C58)))</formula>
    </cfRule>
  </conditionalFormatting>
  <conditionalFormatting sqref="B59:AQ59">
    <cfRule type="containsText" dxfId="0" priority="1" operator="containsText" text="Y">
      <formula>NOT(ISERROR(SEARCH("Y",B59)))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Kaizo</cp:lastModifiedBy>
  <dcterms:created xsi:type="dcterms:W3CDTF">2023-04-08T19:27:42Z</dcterms:created>
  <dcterms:modified xsi:type="dcterms:W3CDTF">2026-06-21T15:23:04Z</dcterms:modified>
</cp:coreProperties>
</file>