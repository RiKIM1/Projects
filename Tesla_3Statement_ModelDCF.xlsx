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24226"/>
  <mc:AlternateContent xmlns:mc="http://schemas.openxmlformats.org/markup-compatibility/2006">
    <mc:Choice Requires="x15">
      <x15ac:absPath xmlns:x15ac="http://schemas.microsoft.com/office/spreadsheetml/2010/11/ac" url="C:\Users\Kaizo\Downloads\"/>
    </mc:Choice>
  </mc:AlternateContent>
  <xr:revisionPtr revIDLastSave="0" documentId="13_ncr:1_{55D79FC4-F72F-4F73-A05C-7E2D0610C38E}" xr6:coauthVersionLast="47" xr6:coauthVersionMax="47" xr10:uidLastSave="{00000000-0000-0000-0000-000000000000}"/>
  <bookViews>
    <workbookView xWindow="-120" yWindow="-120" windowWidth="20730" windowHeight="11160" tabRatio="594" firstSheet="3" activeTab="7" xr2:uid="{00000000-000D-0000-FFFF-FFFF00000000}"/>
  </bookViews>
  <sheets>
    <sheet name="Income Statement" sheetId="1" r:id="rId1"/>
    <sheet name="Cash Flow Statement" sheetId="4" r:id="rId2"/>
    <sheet name="Balance Sheet" sheetId="5" r:id="rId3"/>
    <sheet name="Depreciation" sheetId="6" r:id="rId4"/>
    <sheet name="Operating Working Capital" sheetId="7" r:id="rId5"/>
    <sheet name="Debt Schedule" sheetId="8" r:id="rId6"/>
    <sheet name="---&gt; Valuation" sheetId="10" r:id="rId7"/>
    <sheet name="DCF Analysis" sheetId="11" r:id="rId8"/>
    <sheet name="Comparable Companies Anaylsis" sheetId="12" r:id="rId9"/>
    <sheet name="GOOG Comp" sheetId="20" r:id="rId10"/>
  </sheets>
  <externalReferences>
    <externalReference r:id="rId11"/>
  </externalReferences>
  <definedNames>
    <definedName name="M_to_MM">'[1]WFM - Wild Oats'!$L$54</definedName>
    <definedName name="_xlnm.Print_Area" localSheetId="2">'Balance Sheet'!$A$1:$J$49</definedName>
    <definedName name="_xlnm.Print_Area" localSheetId="1">'Cash Flow Statement'!$A$1:$K$66</definedName>
    <definedName name="_xlnm.Print_Area" localSheetId="5">'Debt Schedule'!$A$1:$K$50</definedName>
    <definedName name="_xlnm.Print_Area" localSheetId="3">Depreciation!$A$1:$K$28</definedName>
    <definedName name="_xlnm.Print_Area" localSheetId="0">'Income Statement'!$A$1:$K$74</definedName>
    <definedName name="_xlnm.Print_Area" localSheetId="4">'Operating Working Capital'!$A$1:$K$27</definedName>
    <definedName name="_xlnm.Print_Titles" localSheetId="0">'Income Statement'!$1:$5</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5" i="4" l="1"/>
  <c r="I12" i="11" s="1"/>
  <c r="F35" i="11"/>
  <c r="E35" i="11"/>
  <c r="F37" i="11"/>
  <c r="E37" i="11"/>
  <c r="F22" i="11"/>
  <c r="G17" i="11"/>
  <c r="F17" i="11"/>
  <c r="L27" i="11"/>
  <c r="O21" i="11"/>
  <c r="O24" i="11"/>
  <c r="O23" i="11"/>
  <c r="L24" i="11"/>
  <c r="G14" i="11"/>
  <c r="G13" i="11"/>
  <c r="G12" i="11"/>
  <c r="H12" i="11"/>
  <c r="G11" i="11"/>
  <c r="H11" i="11"/>
  <c r="I11" i="11"/>
  <c r="J11" i="11"/>
  <c r="K11" i="11"/>
  <c r="G10" i="11"/>
  <c r="H10" i="11"/>
  <c r="I10" i="11"/>
  <c r="J10" i="11"/>
  <c r="K10" i="11"/>
  <c r="G9" i="11"/>
  <c r="H9" i="11"/>
  <c r="I9" i="11"/>
  <c r="J9" i="11"/>
  <c r="K9" i="11"/>
  <c r="G8" i="11"/>
  <c r="G7" i="11"/>
  <c r="M51" i="4"/>
  <c r="N51" i="4"/>
  <c r="O51" i="4"/>
  <c r="P51" i="4"/>
  <c r="Q51" i="4"/>
  <c r="M45" i="4"/>
  <c r="N45" i="4"/>
  <c r="O45" i="4"/>
  <c r="P45" i="4"/>
  <c r="Q45" i="4"/>
  <c r="L45" i="4"/>
  <c r="M50" i="4"/>
  <c r="N50" i="4"/>
  <c r="O50" i="4"/>
  <c r="P50" i="4"/>
  <c r="Q50" i="4"/>
  <c r="L50" i="4"/>
  <c r="F26" i="8"/>
  <c r="F17" i="8"/>
  <c r="G44" i="8"/>
  <c r="H39" i="8" s="1"/>
  <c r="G39" i="8"/>
  <c r="G45" i="8" s="1"/>
  <c r="H47" i="8"/>
  <c r="I47" i="8"/>
  <c r="J47" i="8"/>
  <c r="K47" i="8"/>
  <c r="L47" i="8"/>
  <c r="G47" i="8"/>
  <c r="G30" i="8"/>
  <c r="G35" i="8" s="1"/>
  <c r="H30" i="8" s="1"/>
  <c r="H35" i="8" s="1"/>
  <c r="I30" i="8" s="1"/>
  <c r="I35" i="8" s="1"/>
  <c r="J30" i="8" s="1"/>
  <c r="J35" i="8" s="1"/>
  <c r="K30" i="8" s="1"/>
  <c r="K35" i="8" s="1"/>
  <c r="L30" i="8" s="1"/>
  <c r="L35" i="8" s="1"/>
  <c r="H19" i="8"/>
  <c r="I19" i="8"/>
  <c r="J19" i="8"/>
  <c r="K19" i="8"/>
  <c r="L19" i="8"/>
  <c r="G19" i="8"/>
  <c r="H28" i="8"/>
  <c r="I28" i="8"/>
  <c r="J28" i="8"/>
  <c r="K28" i="8"/>
  <c r="L28" i="8"/>
  <c r="G28" i="8"/>
  <c r="H51" i="8"/>
  <c r="I51" i="8" s="1"/>
  <c r="O35" i="4"/>
  <c r="J12" i="11" s="1"/>
  <c r="G21" i="8"/>
  <c r="G26" i="8" s="1"/>
  <c r="H21" i="8" s="1"/>
  <c r="G12" i="8"/>
  <c r="G17" i="8" s="1"/>
  <c r="H12" i="8" s="1"/>
  <c r="F49" i="8"/>
  <c r="G7" i="8" s="1"/>
  <c r="H28" i="7"/>
  <c r="F27" i="7"/>
  <c r="G28" i="7"/>
  <c r="F15" i="7"/>
  <c r="G15" i="7"/>
  <c r="H15" i="7"/>
  <c r="E15" i="7"/>
  <c r="H11" i="7"/>
  <c r="I11" i="7"/>
  <c r="J11" i="7"/>
  <c r="K11" i="7"/>
  <c r="L11" i="7"/>
  <c r="G11" i="7"/>
  <c r="L5" i="8"/>
  <c r="G5" i="8"/>
  <c r="E5" i="8"/>
  <c r="F5" i="8"/>
  <c r="H5" i="8"/>
  <c r="I5" i="8"/>
  <c r="J5" i="8"/>
  <c r="K5" i="8"/>
  <c r="D5" i="8"/>
  <c r="L46" i="5"/>
  <c r="M46" i="5" s="1"/>
  <c r="N46" i="5" s="1"/>
  <c r="O46" i="5" s="1"/>
  <c r="P46" i="5" s="1"/>
  <c r="K46" i="5"/>
  <c r="L42" i="5"/>
  <c r="M42" i="5" s="1"/>
  <c r="N42" i="5" s="1"/>
  <c r="O42" i="5" s="1"/>
  <c r="P42" i="5" s="1"/>
  <c r="K42" i="5"/>
  <c r="L38" i="5"/>
  <c r="M38" i="5" s="1"/>
  <c r="K38" i="5"/>
  <c r="K36" i="5"/>
  <c r="L36" i="5"/>
  <c r="L35" i="5"/>
  <c r="M35" i="5" s="1"/>
  <c r="N35" i="5" s="1"/>
  <c r="O35" i="5" s="1"/>
  <c r="P35" i="5" s="1"/>
  <c r="K35" i="5"/>
  <c r="L33" i="5"/>
  <c r="K33" i="5"/>
  <c r="L22" i="5"/>
  <c r="M22" i="5" s="1"/>
  <c r="N22" i="5" s="1"/>
  <c r="O22" i="5" s="1"/>
  <c r="P22" i="5" s="1"/>
  <c r="K22" i="5"/>
  <c r="L21" i="5"/>
  <c r="M21" i="5" s="1"/>
  <c r="K21" i="5"/>
  <c r="L34" i="5"/>
  <c r="M34" i="5"/>
  <c r="N34" i="5" s="1"/>
  <c r="O34" i="5" s="1"/>
  <c r="P34" i="5" s="1"/>
  <c r="K34" i="5"/>
  <c r="L39" i="5"/>
  <c r="M39" i="5" s="1"/>
  <c r="N39" i="5" s="1"/>
  <c r="O39" i="5" s="1"/>
  <c r="P39" i="5" s="1"/>
  <c r="K39" i="5"/>
  <c r="L19" i="5"/>
  <c r="M19" i="5" s="1"/>
  <c r="N19" i="5" s="1"/>
  <c r="O19" i="5" s="1"/>
  <c r="P19" i="5" s="1"/>
  <c r="K19" i="5"/>
  <c r="L20" i="5"/>
  <c r="M20" i="5" s="1"/>
  <c r="N20" i="5" s="1"/>
  <c r="O20" i="5" s="1"/>
  <c r="P20" i="5" s="1"/>
  <c r="K20" i="5"/>
  <c r="L17" i="5"/>
  <c r="M17" i="5" s="1"/>
  <c r="N17" i="5" s="1"/>
  <c r="O17" i="5" s="1"/>
  <c r="P17" i="5" s="1"/>
  <c r="K17" i="5"/>
  <c r="L32" i="5"/>
  <c r="K32" i="5"/>
  <c r="L30" i="5"/>
  <c r="M30" i="5"/>
  <c r="N30" i="5"/>
  <c r="O30" i="5"/>
  <c r="P30" i="5" s="1"/>
  <c r="K30" i="5"/>
  <c r="L31" i="5"/>
  <c r="M31" i="5"/>
  <c r="N31" i="5"/>
  <c r="O31" i="5"/>
  <c r="P31" i="5" s="1"/>
  <c r="K31" i="5"/>
  <c r="L28" i="5"/>
  <c r="K28" i="5"/>
  <c r="F32" i="5"/>
  <c r="G32" i="5"/>
  <c r="H32" i="5"/>
  <c r="I32" i="5"/>
  <c r="J32" i="5"/>
  <c r="E32" i="5"/>
  <c r="F28" i="5"/>
  <c r="G28" i="5"/>
  <c r="H28" i="5"/>
  <c r="I28" i="5"/>
  <c r="J28" i="5"/>
  <c r="E28" i="5"/>
  <c r="K43" i="5"/>
  <c r="L43" i="5" s="1"/>
  <c r="M43" i="5" s="1"/>
  <c r="N43" i="5" s="1"/>
  <c r="O43" i="5" s="1"/>
  <c r="P43" i="5" s="1"/>
  <c r="K41" i="5"/>
  <c r="K18" i="5"/>
  <c r="L18" i="5" s="1"/>
  <c r="M18" i="5" s="1"/>
  <c r="N18" i="5" s="1"/>
  <c r="O18" i="5" s="1"/>
  <c r="P18" i="5" s="1"/>
  <c r="K15" i="5"/>
  <c r="L15" i="5" s="1"/>
  <c r="M15" i="5" s="1"/>
  <c r="N15" i="5" s="1"/>
  <c r="O15" i="5" s="1"/>
  <c r="P15" i="5" s="1"/>
  <c r="K14" i="5"/>
  <c r="L14" i="5" s="1"/>
  <c r="M14" i="5" s="1"/>
  <c r="N14" i="5" s="1"/>
  <c r="O14" i="5" s="1"/>
  <c r="P14" i="5" s="1"/>
  <c r="K9" i="5"/>
  <c r="L9" i="5" s="1"/>
  <c r="M9" i="5" s="1"/>
  <c r="N9" i="5" s="1"/>
  <c r="O9" i="5" s="1"/>
  <c r="P9" i="5" s="1"/>
  <c r="F19" i="7"/>
  <c r="E19" i="7"/>
  <c r="F21" i="7"/>
  <c r="E21" i="7"/>
  <c r="F22" i="7" s="1"/>
  <c r="F20" i="7"/>
  <c r="F17" i="7"/>
  <c r="E17" i="7"/>
  <c r="F13" i="7"/>
  <c r="E13" i="7"/>
  <c r="F9" i="7"/>
  <c r="E9" i="7"/>
  <c r="H44" i="8" l="1"/>
  <c r="I39" i="8" s="1"/>
  <c r="G18" i="8"/>
  <c r="I36" i="8"/>
  <c r="H36" i="8"/>
  <c r="G36" i="8"/>
  <c r="L36" i="8"/>
  <c r="K36" i="8"/>
  <c r="J36" i="8"/>
  <c r="H26" i="8"/>
  <c r="I21" i="8" s="1"/>
  <c r="H17" i="8"/>
  <c r="I12" i="8" s="1"/>
  <c r="G27" i="8"/>
  <c r="J51" i="8"/>
  <c r="N38" i="5"/>
  <c r="O38" i="5" s="1"/>
  <c r="N21" i="5"/>
  <c r="L41" i="5"/>
  <c r="F14" i="7"/>
  <c r="F18" i="7"/>
  <c r="F10" i="7"/>
  <c r="K12" i="11" l="1"/>
  <c r="Q35" i="4"/>
  <c r="G48" i="8"/>
  <c r="I44" i="8"/>
  <c r="J39" i="8" s="1"/>
  <c r="H45" i="8"/>
  <c r="L50" i="1"/>
  <c r="H18" i="8"/>
  <c r="H27" i="8"/>
  <c r="I26" i="8"/>
  <c r="J21" i="8" s="1"/>
  <c r="I17" i="8"/>
  <c r="J12" i="8" s="1"/>
  <c r="K51" i="8"/>
  <c r="P38" i="5"/>
  <c r="O21" i="5"/>
  <c r="M41" i="5"/>
  <c r="F7" i="7"/>
  <c r="E7" i="7"/>
  <c r="F5" i="7"/>
  <c r="E5" i="7"/>
  <c r="D5" i="7"/>
  <c r="M18" i="4"/>
  <c r="N18" i="4"/>
  <c r="O18" i="4"/>
  <c r="P18" i="4"/>
  <c r="Q18" i="4" s="1"/>
  <c r="L18" i="4"/>
  <c r="F45" i="1"/>
  <c r="G45" i="1"/>
  <c r="H45" i="1"/>
  <c r="I45" i="1"/>
  <c r="J45" i="1"/>
  <c r="K45" i="1"/>
  <c r="E45" i="1"/>
  <c r="L22" i="6"/>
  <c r="L23" i="6"/>
  <c r="H22" i="6"/>
  <c r="I22" i="6"/>
  <c r="J22" i="6"/>
  <c r="K22" i="6"/>
  <c r="G22" i="6"/>
  <c r="H48" i="8" l="1"/>
  <c r="I45" i="8"/>
  <c r="J44" i="8"/>
  <c r="K39" i="8" s="1"/>
  <c r="J45" i="8"/>
  <c r="M50" i="1"/>
  <c r="I27" i="8"/>
  <c r="I18" i="8"/>
  <c r="I48" i="8" s="1"/>
  <c r="J26" i="8"/>
  <c r="K21" i="8" s="1"/>
  <c r="J17" i="8"/>
  <c r="K12" i="8" s="1"/>
  <c r="L51" i="8"/>
  <c r="P21" i="5"/>
  <c r="N41" i="5"/>
  <c r="F8" i="7"/>
  <c r="G8" i="6"/>
  <c r="L21" i="6" s="1"/>
  <c r="G7" i="6"/>
  <c r="L20" i="6" s="1"/>
  <c r="G6" i="6"/>
  <c r="L19" i="6" s="1"/>
  <c r="G10" i="6"/>
  <c r="F42" i="5"/>
  <c r="F45" i="5" s="1"/>
  <c r="G42" i="5"/>
  <c r="G45" i="5" s="1"/>
  <c r="H42" i="5"/>
  <c r="H45" i="5" s="1"/>
  <c r="I42" i="5"/>
  <c r="I45" i="5" s="1"/>
  <c r="J42" i="5"/>
  <c r="I31" i="5"/>
  <c r="J22" i="5"/>
  <c r="K45" i="8" l="1"/>
  <c r="K44" i="8"/>
  <c r="L39" i="8" s="1"/>
  <c r="J27" i="8"/>
  <c r="N50" i="1"/>
  <c r="K17" i="8"/>
  <c r="L12" i="8" s="1"/>
  <c r="K18" i="8"/>
  <c r="J18" i="8"/>
  <c r="J48" i="8" s="1"/>
  <c r="K26" i="8"/>
  <c r="L21" i="8" s="1"/>
  <c r="J45" i="5"/>
  <c r="J31" i="5"/>
  <c r="F23" i="7" s="1"/>
  <c r="F25" i="7" s="1"/>
  <c r="E23" i="7"/>
  <c r="E25" i="7" s="1"/>
  <c r="O41" i="5"/>
  <c r="L58" i="4"/>
  <c r="M58" i="4" s="1"/>
  <c r="N58" i="4" s="1"/>
  <c r="O58" i="4" s="1"/>
  <c r="M57" i="4"/>
  <c r="N57" i="4" s="1"/>
  <c r="L57" i="4"/>
  <c r="L59" i="4" s="1"/>
  <c r="M60" i="4"/>
  <c r="N60" i="4"/>
  <c r="O60" i="4"/>
  <c r="P60" i="4"/>
  <c r="Q60" i="4"/>
  <c r="L60" i="4"/>
  <c r="E5" i="1"/>
  <c r="F5" i="1" s="1"/>
  <c r="G5" i="1" s="1"/>
  <c r="H5" i="1" s="1"/>
  <c r="I5" i="1" s="1"/>
  <c r="H5" i="5" s="1"/>
  <c r="F43" i="4"/>
  <c r="L43" i="4"/>
  <c r="L38" i="4"/>
  <c r="M38" i="4" s="1"/>
  <c r="N38" i="4" s="1"/>
  <c r="O38" i="4" s="1"/>
  <c r="P38" i="4" s="1"/>
  <c r="Q38" i="4" s="1"/>
  <c r="M37" i="4"/>
  <c r="N37" i="4" s="1"/>
  <c r="O37" i="4" s="1"/>
  <c r="P37" i="4" s="1"/>
  <c r="Q37" i="4" s="1"/>
  <c r="L37" i="4"/>
  <c r="L36" i="4"/>
  <c r="M36" i="4" s="1"/>
  <c r="H10" i="6" s="1"/>
  <c r="L24" i="6" s="1"/>
  <c r="L19" i="4"/>
  <c r="M19" i="4" s="1"/>
  <c r="N19" i="4" s="1"/>
  <c r="O19" i="4" s="1"/>
  <c r="P19" i="4" s="1"/>
  <c r="Q19" i="4" s="1"/>
  <c r="L17" i="4"/>
  <c r="M17" i="4" s="1"/>
  <c r="N17" i="4" s="1"/>
  <c r="O17" i="4" s="1"/>
  <c r="P17" i="4" s="1"/>
  <c r="Q17" i="4" s="1"/>
  <c r="K16" i="4"/>
  <c r="L16" i="4" s="1"/>
  <c r="L15" i="4" s="1"/>
  <c r="M14" i="4"/>
  <c r="N14" i="4"/>
  <c r="Q14" i="4" s="1"/>
  <c r="P14" i="4"/>
  <c r="L14" i="4"/>
  <c r="O14" i="4" s="1"/>
  <c r="L12" i="4"/>
  <c r="M12" i="4" s="1"/>
  <c r="N12" i="4" s="1"/>
  <c r="O12" i="4" s="1"/>
  <c r="P12" i="4" s="1"/>
  <c r="Q12" i="4" s="1"/>
  <c r="H30" i="4"/>
  <c r="I30" i="4"/>
  <c r="J30" i="4"/>
  <c r="K30" i="4"/>
  <c r="G30" i="4"/>
  <c r="K57" i="4"/>
  <c r="J57" i="4"/>
  <c r="I57" i="4"/>
  <c r="H57" i="4"/>
  <c r="G57" i="4"/>
  <c r="G35" i="4"/>
  <c r="I23" i="6" s="1"/>
  <c r="H35" i="4"/>
  <c r="I35" i="4"/>
  <c r="J35" i="4"/>
  <c r="K35" i="4"/>
  <c r="L74" i="1"/>
  <c r="M73" i="1"/>
  <c r="N73" i="1" s="1"/>
  <c r="O73" i="1" s="1"/>
  <c r="P73" i="1" s="1"/>
  <c r="Q73" i="1" s="1"/>
  <c r="Q74" i="1" s="1"/>
  <c r="L33" i="1"/>
  <c r="M34" i="1"/>
  <c r="N34" i="1" s="1"/>
  <c r="O34" i="1" s="1"/>
  <c r="P34" i="1" s="1"/>
  <c r="Q34" i="1" s="1"/>
  <c r="N19" i="1"/>
  <c r="O20" i="1"/>
  <c r="P20" i="1" s="1"/>
  <c r="Q20" i="1" s="1"/>
  <c r="M20" i="1"/>
  <c r="G52" i="1"/>
  <c r="H52" i="1"/>
  <c r="I52" i="1"/>
  <c r="J52" i="1"/>
  <c r="K52" i="1"/>
  <c r="K41" i="1"/>
  <c r="K10" i="4" s="1"/>
  <c r="L10" i="4" s="1"/>
  <c r="E41" i="1"/>
  <c r="F41" i="1"/>
  <c r="F10" i="4" s="1"/>
  <c r="G41" i="1"/>
  <c r="G10" i="4" s="1"/>
  <c r="H41" i="1"/>
  <c r="H10" i="4" s="1"/>
  <c r="I41" i="1"/>
  <c r="I10" i="4" s="1"/>
  <c r="J41" i="1"/>
  <c r="J10" i="4" s="1"/>
  <c r="D41" i="1"/>
  <c r="D10" i="4" s="1"/>
  <c r="F38" i="1"/>
  <c r="G38" i="1"/>
  <c r="H38" i="1"/>
  <c r="I38" i="1"/>
  <c r="J38" i="1"/>
  <c r="K38" i="1"/>
  <c r="E38" i="1"/>
  <c r="F35" i="1"/>
  <c r="G35" i="1"/>
  <c r="H35" i="1"/>
  <c r="I35" i="1"/>
  <c r="J35" i="1"/>
  <c r="K35" i="1"/>
  <c r="E35" i="1"/>
  <c r="E24" i="1"/>
  <c r="E27" i="1" s="1"/>
  <c r="F24" i="1"/>
  <c r="F27" i="1" s="1"/>
  <c r="G24" i="1"/>
  <c r="G27" i="1" s="1"/>
  <c r="H24" i="1"/>
  <c r="I24" i="1"/>
  <c r="J24" i="1"/>
  <c r="K24" i="1"/>
  <c r="K27" i="1" s="1"/>
  <c r="D24" i="1"/>
  <c r="D27" i="1" s="1"/>
  <c r="G18" i="1"/>
  <c r="H18" i="1"/>
  <c r="I18" i="1"/>
  <c r="J18" i="1"/>
  <c r="K18" i="1"/>
  <c r="G16" i="1"/>
  <c r="H16" i="1"/>
  <c r="I16" i="1"/>
  <c r="J16" i="1"/>
  <c r="K16" i="1"/>
  <c r="E13" i="1"/>
  <c r="E19" i="1" s="1"/>
  <c r="F13" i="1"/>
  <c r="F19" i="1" s="1"/>
  <c r="F34" i="1" s="1"/>
  <c r="G13" i="1"/>
  <c r="G19" i="1" s="1"/>
  <c r="F36" i="4" s="1"/>
  <c r="H13" i="1"/>
  <c r="H19" i="1" s="1"/>
  <c r="H34" i="1" s="1"/>
  <c r="I13" i="1"/>
  <c r="I19" i="1" s="1"/>
  <c r="I37" i="1" s="1"/>
  <c r="J13" i="1"/>
  <c r="K13" i="1"/>
  <c r="K19" i="1" s="1"/>
  <c r="K40" i="1" s="1"/>
  <c r="L40" i="1" s="1"/>
  <c r="M40" i="1" s="1"/>
  <c r="N40" i="1" s="1"/>
  <c r="O40" i="1" s="1"/>
  <c r="P40" i="1" s="1"/>
  <c r="Q40" i="1" s="1"/>
  <c r="D13" i="1"/>
  <c r="D19" i="1" s="1"/>
  <c r="G12" i="1"/>
  <c r="H12" i="1"/>
  <c r="I12" i="1"/>
  <c r="J12" i="1"/>
  <c r="K12" i="1"/>
  <c r="I10" i="1"/>
  <c r="J10" i="1"/>
  <c r="K10" i="1"/>
  <c r="H10" i="1"/>
  <c r="G8" i="1"/>
  <c r="H8" i="1"/>
  <c r="I8" i="1"/>
  <c r="J8" i="1"/>
  <c r="K8" i="1"/>
  <c r="H13" i="4"/>
  <c r="I13" i="4" s="1"/>
  <c r="J13" i="4" s="1"/>
  <c r="K13" i="4" s="1"/>
  <c r="H8" i="4"/>
  <c r="I8" i="4"/>
  <c r="J8" i="4"/>
  <c r="K8" i="4"/>
  <c r="G8" i="4"/>
  <c r="K21" i="6"/>
  <c r="H21" i="6"/>
  <c r="K20" i="6"/>
  <c r="H19" i="6"/>
  <c r="E42" i="5"/>
  <c r="E45" i="5" s="1"/>
  <c r="D42" i="5"/>
  <c r="D45" i="5" s="1"/>
  <c r="E36" i="5"/>
  <c r="D32" i="5"/>
  <c r="D36" i="5" s="1"/>
  <c r="E13" i="5"/>
  <c r="E23" i="5" s="1"/>
  <c r="D13" i="5"/>
  <c r="D23" i="5" s="1"/>
  <c r="G56" i="4"/>
  <c r="H56" i="4" s="1"/>
  <c r="I56" i="4" s="1"/>
  <c r="J56" i="4" s="1"/>
  <c r="K56" i="4" s="1"/>
  <c r="G55" i="4"/>
  <c r="H55" i="4" s="1"/>
  <c r="I55" i="4" s="1"/>
  <c r="J55" i="4" s="1"/>
  <c r="K55" i="4" s="1"/>
  <c r="J42" i="4"/>
  <c r="J41" i="4"/>
  <c r="K41" i="4" s="1"/>
  <c r="J40" i="4"/>
  <c r="K40" i="4" s="1"/>
  <c r="E35" i="4"/>
  <c r="E43" i="4" s="1"/>
  <c r="F35" i="4"/>
  <c r="D35" i="4"/>
  <c r="D43" i="4" s="1"/>
  <c r="E8" i="4"/>
  <c r="F8" i="4"/>
  <c r="D8" i="4"/>
  <c r="F57" i="4"/>
  <c r="F59" i="4" s="1"/>
  <c r="E57" i="4"/>
  <c r="E59" i="4" s="1"/>
  <c r="D57" i="4"/>
  <c r="D59" i="4" s="1"/>
  <c r="E30" i="4"/>
  <c r="F30" i="4"/>
  <c r="D30" i="4"/>
  <c r="H66" i="1"/>
  <c r="I66" i="1" s="1"/>
  <c r="J66" i="1" s="1"/>
  <c r="K66" i="1" s="1"/>
  <c r="L66" i="1" s="1"/>
  <c r="M66" i="1" s="1"/>
  <c r="N66" i="1" s="1"/>
  <c r="O66" i="1" s="1"/>
  <c r="P66" i="1" s="1"/>
  <c r="Q66" i="1" s="1"/>
  <c r="E52" i="1"/>
  <c r="F52" i="1"/>
  <c r="D52" i="1"/>
  <c r="E10" i="4"/>
  <c r="F18" i="1"/>
  <c r="E18" i="1"/>
  <c r="F16" i="1"/>
  <c r="E16" i="1"/>
  <c r="F12" i="1"/>
  <c r="E12" i="1"/>
  <c r="F8" i="1"/>
  <c r="E8" i="1"/>
  <c r="H24" i="20"/>
  <c r="H23" i="20"/>
  <c r="H25" i="20"/>
  <c r="H21" i="20"/>
  <c r="G24" i="20"/>
  <c r="G23" i="20"/>
  <c r="G25" i="20" s="1"/>
  <c r="C17" i="12"/>
  <c r="C15" i="12"/>
  <c r="C13" i="12"/>
  <c r="C12" i="12"/>
  <c r="C11" i="12"/>
  <c r="C10" i="12"/>
  <c r="M35" i="12"/>
  <c r="C35" i="12"/>
  <c r="C33" i="12"/>
  <c r="C29" i="12"/>
  <c r="D51" i="20"/>
  <c r="D55" i="20"/>
  <c r="D50" i="20"/>
  <c r="H45" i="20" s="1"/>
  <c r="C28" i="12"/>
  <c r="C7" i="12"/>
  <c r="D56" i="20"/>
  <c r="H46" i="20" s="1"/>
  <c r="C9" i="12"/>
  <c r="E35" i="12"/>
  <c r="D35" i="12"/>
  <c r="E46" i="20"/>
  <c r="E45" i="20"/>
  <c r="E29" i="20"/>
  <c r="H29" i="20" s="1"/>
  <c r="E32" i="20"/>
  <c r="E9" i="20"/>
  <c r="E11" i="20" s="1"/>
  <c r="E13" i="20"/>
  <c r="E14" i="20"/>
  <c r="H14" i="20" s="1"/>
  <c r="F46" i="20"/>
  <c r="G46" i="20" s="1"/>
  <c r="F45" i="20"/>
  <c r="G45" i="20" s="1"/>
  <c r="D46" i="20"/>
  <c r="D45" i="20"/>
  <c r="D29" i="20"/>
  <c r="D31" i="20" s="1"/>
  <c r="F29" i="20"/>
  <c r="F36" i="20"/>
  <c r="F25" i="20"/>
  <c r="D25" i="20"/>
  <c r="D17" i="20"/>
  <c r="F17" i="20"/>
  <c r="F18" i="20"/>
  <c r="D13" i="20"/>
  <c r="F13" i="20"/>
  <c r="F14" i="20"/>
  <c r="E25" i="20"/>
  <c r="G21" i="20"/>
  <c r="E18" i="20"/>
  <c r="H18" i="20" s="1"/>
  <c r="H17" i="20" s="1"/>
  <c r="D14" i="20"/>
  <c r="H6" i="20"/>
  <c r="E33" i="12" s="1"/>
  <c r="G6" i="20"/>
  <c r="D33" i="12" s="1"/>
  <c r="E32" i="12"/>
  <c r="D32" i="12"/>
  <c r="C32" i="12"/>
  <c r="E31" i="12"/>
  <c r="D31" i="12"/>
  <c r="C31" i="12"/>
  <c r="D30" i="12"/>
  <c r="C30" i="12"/>
  <c r="E30" i="12"/>
  <c r="E29" i="12"/>
  <c r="D29" i="12"/>
  <c r="E28" i="12"/>
  <c r="D28" i="12"/>
  <c r="N25" i="12"/>
  <c r="K25" i="12"/>
  <c r="Q5" i="12" s="1"/>
  <c r="H25" i="12"/>
  <c r="K5" i="12" s="1"/>
  <c r="N5" i="12" s="1"/>
  <c r="G25" i="12"/>
  <c r="J25" i="12"/>
  <c r="F25" i="12"/>
  <c r="I25" i="12"/>
  <c r="H5" i="12"/>
  <c r="G5" i="12"/>
  <c r="F5" i="12"/>
  <c r="E5" i="11"/>
  <c r="F5" i="11" s="1"/>
  <c r="G5" i="11" s="1"/>
  <c r="H5" i="11" s="1"/>
  <c r="I5" i="11" s="1"/>
  <c r="J5" i="11" s="1"/>
  <c r="K5" i="11" s="1"/>
  <c r="A3" i="4"/>
  <c r="A3" i="5" s="1"/>
  <c r="A3" i="6" s="1"/>
  <c r="A3" i="7" s="1"/>
  <c r="A3" i="8" s="1"/>
  <c r="A3" i="11" s="1"/>
  <c r="D5" i="4"/>
  <c r="E31" i="20"/>
  <c r="E35" i="20"/>
  <c r="G17" i="20"/>
  <c r="G18" i="20" s="1"/>
  <c r="F9" i="20"/>
  <c r="F11" i="20" s="1"/>
  <c r="F10" i="20"/>
  <c r="D18" i="20"/>
  <c r="D36" i="20"/>
  <c r="E10" i="20"/>
  <c r="H10" i="20" s="1"/>
  <c r="E34" i="20"/>
  <c r="D9" i="20"/>
  <c r="D33" i="20"/>
  <c r="D34" i="20"/>
  <c r="D32" i="20"/>
  <c r="D35" i="20"/>
  <c r="F31" i="20"/>
  <c r="G31" i="20" s="1"/>
  <c r="G13" i="20"/>
  <c r="F34" i="20"/>
  <c r="E33" i="20"/>
  <c r="F33" i="20"/>
  <c r="F32" i="20"/>
  <c r="G32" i="20" s="1"/>
  <c r="E36" i="20"/>
  <c r="G36" i="20" s="1"/>
  <c r="F35" i="20"/>
  <c r="I28" i="12"/>
  <c r="F28" i="12"/>
  <c r="I5" i="12"/>
  <c r="L5" i="12"/>
  <c r="I35" i="12"/>
  <c r="G35" i="20"/>
  <c r="G33" i="20"/>
  <c r="G34" i="20"/>
  <c r="D11" i="20"/>
  <c r="D10" i="20"/>
  <c r="G9" i="20"/>
  <c r="G14" i="20"/>
  <c r="H13" i="20"/>
  <c r="J32" i="12"/>
  <c r="I31" i="12"/>
  <c r="J31" i="12"/>
  <c r="G31" i="12"/>
  <c r="F31" i="12"/>
  <c r="I30" i="12"/>
  <c r="J30" i="12"/>
  <c r="G11" i="20"/>
  <c r="G10" i="20"/>
  <c r="H9" i="20"/>
  <c r="H11" i="20"/>
  <c r="D12" i="20"/>
  <c r="D15" i="20"/>
  <c r="D19" i="20" s="1"/>
  <c r="D20" i="20" s="1"/>
  <c r="I32" i="12"/>
  <c r="G30" i="12"/>
  <c r="F30" i="12"/>
  <c r="D16" i="20"/>
  <c r="G12" i="20"/>
  <c r="G15" i="20"/>
  <c r="J33" i="12" s="1"/>
  <c r="G19" i="20"/>
  <c r="G16" i="20"/>
  <c r="D26" i="20"/>
  <c r="D28" i="20" s="1"/>
  <c r="D27" i="20"/>
  <c r="O5" i="12"/>
  <c r="L25" i="12"/>
  <c r="P5" i="12"/>
  <c r="M25" i="12"/>
  <c r="J5" i="12"/>
  <c r="M5" i="12" s="1"/>
  <c r="H12" i="20"/>
  <c r="H15" i="20"/>
  <c r="K33" i="12" s="1"/>
  <c r="K31" i="12"/>
  <c r="K30" i="12"/>
  <c r="K28" i="12"/>
  <c r="K35" i="12"/>
  <c r="H16" i="20"/>
  <c r="H19" i="20"/>
  <c r="H20" i="20" s="1"/>
  <c r="K32" i="12"/>
  <c r="H32" i="12"/>
  <c r="H30" i="12"/>
  <c r="K29" i="12"/>
  <c r="H35" i="12"/>
  <c r="H26" i="20"/>
  <c r="H27" i="20" s="1"/>
  <c r="H33" i="12"/>
  <c r="H31" i="12"/>
  <c r="H29" i="12"/>
  <c r="H28" i="12"/>
  <c r="H28" i="20"/>
  <c r="H30" i="20" s="1"/>
  <c r="L44" i="8" l="1"/>
  <c r="L45" i="8" s="1"/>
  <c r="O50" i="1"/>
  <c r="L26" i="8"/>
  <c r="L27" i="8" s="1"/>
  <c r="K27" i="8"/>
  <c r="K48" i="8" s="1"/>
  <c r="L17" i="8"/>
  <c r="L18" i="8" s="1"/>
  <c r="E47" i="5"/>
  <c r="E49" i="5" s="1"/>
  <c r="D47" i="5"/>
  <c r="P41" i="5"/>
  <c r="E5" i="5"/>
  <c r="D5" i="5"/>
  <c r="N33" i="1"/>
  <c r="F16" i="4"/>
  <c r="M74" i="1"/>
  <c r="J16" i="4"/>
  <c r="J24" i="6"/>
  <c r="J5" i="1"/>
  <c r="D5" i="6"/>
  <c r="G5" i="5"/>
  <c r="F5" i="5"/>
  <c r="I20" i="6"/>
  <c r="G20" i="6"/>
  <c r="H20" i="6"/>
  <c r="I21" i="6"/>
  <c r="J20" i="6"/>
  <c r="J21" i="6"/>
  <c r="G21" i="6"/>
  <c r="N59" i="4"/>
  <c r="O57" i="4"/>
  <c r="P57" i="4" s="1"/>
  <c r="Q57" i="4" s="1"/>
  <c r="O59" i="4"/>
  <c r="P58" i="4"/>
  <c r="Q58" i="4" s="1"/>
  <c r="E36" i="4"/>
  <c r="I43" i="4"/>
  <c r="M59" i="4"/>
  <c r="D36" i="4"/>
  <c r="K36" i="4"/>
  <c r="M43" i="4"/>
  <c r="H43" i="4"/>
  <c r="K43" i="4"/>
  <c r="J36" i="4"/>
  <c r="G43" i="4"/>
  <c r="O74" i="1"/>
  <c r="N74" i="1"/>
  <c r="G16" i="4"/>
  <c r="M33" i="1"/>
  <c r="L39" i="1"/>
  <c r="D16" i="4"/>
  <c r="H16" i="4"/>
  <c r="L20" i="1"/>
  <c r="P74" i="1"/>
  <c r="E16" i="4"/>
  <c r="G36" i="4"/>
  <c r="H36" i="4"/>
  <c r="J43" i="4"/>
  <c r="N36" i="4"/>
  <c r="M16" i="4"/>
  <c r="M15" i="4" s="1"/>
  <c r="M10" i="4"/>
  <c r="N10" i="4" s="1"/>
  <c r="O10" i="4" s="1"/>
  <c r="P10" i="4" s="1"/>
  <c r="K59" i="4"/>
  <c r="H59" i="4"/>
  <c r="G59" i="4"/>
  <c r="J59" i="4"/>
  <c r="I59" i="4"/>
  <c r="K23" i="6"/>
  <c r="J23" i="6"/>
  <c r="H23" i="6"/>
  <c r="G23" i="6"/>
  <c r="I24" i="6"/>
  <c r="K24" i="6"/>
  <c r="H24" i="6"/>
  <c r="N39" i="1"/>
  <c r="M39" i="1"/>
  <c r="O19" i="1"/>
  <c r="E30" i="1"/>
  <c r="E31" i="1" s="1"/>
  <c r="J27" i="1"/>
  <c r="K28" i="1" s="1"/>
  <c r="I40" i="1"/>
  <c r="I27" i="1"/>
  <c r="I29" i="1" s="1"/>
  <c r="H27" i="1"/>
  <c r="H30" i="1" s="1"/>
  <c r="H37" i="1"/>
  <c r="E28" i="1"/>
  <c r="F28" i="1"/>
  <c r="K29" i="1"/>
  <c r="G28" i="1"/>
  <c r="K34" i="1"/>
  <c r="K30" i="1"/>
  <c r="K37" i="1"/>
  <c r="L37" i="1" s="1"/>
  <c r="H40" i="1"/>
  <c r="F30" i="1"/>
  <c r="F31" i="1" s="1"/>
  <c r="I34" i="1"/>
  <c r="F40" i="1"/>
  <c r="G14" i="1"/>
  <c r="I20" i="1"/>
  <c r="I14" i="1"/>
  <c r="K14" i="1"/>
  <c r="H14" i="1"/>
  <c r="J14" i="1"/>
  <c r="G29" i="1"/>
  <c r="G20" i="1"/>
  <c r="J19" i="1"/>
  <c r="G10" i="7"/>
  <c r="G20" i="7"/>
  <c r="H20" i="7" s="1"/>
  <c r="G18" i="7"/>
  <c r="G17" i="7" s="1"/>
  <c r="G14" i="7"/>
  <c r="G13" i="7" s="1"/>
  <c r="L24" i="4" s="1"/>
  <c r="K10" i="5" s="1"/>
  <c r="G22" i="7"/>
  <c r="G8" i="7"/>
  <c r="G7" i="7" s="1"/>
  <c r="L22" i="4" s="1"/>
  <c r="K11" i="5" s="1"/>
  <c r="F24" i="7"/>
  <c r="G24" i="7" s="1"/>
  <c r="K19" i="6"/>
  <c r="J19" i="6"/>
  <c r="I19" i="6"/>
  <c r="G19" i="6"/>
  <c r="E27" i="12"/>
  <c r="D30" i="1"/>
  <c r="D31" i="1" s="1"/>
  <c r="D34" i="1"/>
  <c r="F37" i="1"/>
  <c r="E40" i="1"/>
  <c r="D29" i="1"/>
  <c r="E29" i="1"/>
  <c r="E37" i="1"/>
  <c r="F29" i="1"/>
  <c r="E34" i="1"/>
  <c r="D40" i="1"/>
  <c r="D37" i="1"/>
  <c r="E20" i="1"/>
  <c r="F20" i="1"/>
  <c r="F14" i="1"/>
  <c r="E14" i="1"/>
  <c r="E5" i="4"/>
  <c r="H37" i="20"/>
  <c r="H42" i="20"/>
  <c r="H43" i="20"/>
  <c r="N33" i="12" s="1"/>
  <c r="H15" i="12" s="1"/>
  <c r="D30" i="20"/>
  <c r="G33" i="12"/>
  <c r="G26" i="20"/>
  <c r="G20" i="20"/>
  <c r="F15" i="20"/>
  <c r="F12" i="20"/>
  <c r="E12" i="20"/>
  <c r="E15" i="20"/>
  <c r="E11" i="12"/>
  <c r="D11" i="12"/>
  <c r="N35" i="12"/>
  <c r="H17" i="12" s="1"/>
  <c r="D59" i="20"/>
  <c r="N30" i="12"/>
  <c r="H11" i="12" s="1"/>
  <c r="D7" i="12"/>
  <c r="E7" i="12"/>
  <c r="L48" i="8" l="1"/>
  <c r="Q50" i="1"/>
  <c r="P50" i="1"/>
  <c r="H10" i="7"/>
  <c r="H9" i="7" s="1"/>
  <c r="G9" i="7"/>
  <c r="L21" i="4" s="1"/>
  <c r="K12" i="5" s="1"/>
  <c r="K5" i="1"/>
  <c r="E5" i="6"/>
  <c r="I5" i="5"/>
  <c r="N43" i="4"/>
  <c r="I10" i="6"/>
  <c r="L25" i="6" s="1"/>
  <c r="G28" i="6"/>
  <c r="L44" i="1" s="1"/>
  <c r="P59" i="4"/>
  <c r="Q59" i="4"/>
  <c r="L36" i="1"/>
  <c r="L41" i="1" s="1"/>
  <c r="L9" i="4" s="1"/>
  <c r="M37" i="1"/>
  <c r="P19" i="1"/>
  <c r="O33" i="1"/>
  <c r="I16" i="4"/>
  <c r="I36" i="4"/>
  <c r="O39" i="1"/>
  <c r="O36" i="4"/>
  <c r="N16" i="4"/>
  <c r="N15" i="4" s="1"/>
  <c r="M33" i="5" s="1"/>
  <c r="Q10" i="4"/>
  <c r="H28" i="6"/>
  <c r="M44" i="1" s="1"/>
  <c r="I30" i="1"/>
  <c r="J28" i="1"/>
  <c r="H28" i="1"/>
  <c r="H29" i="1"/>
  <c r="I28" i="1"/>
  <c r="F26" i="7"/>
  <c r="J20" i="1"/>
  <c r="J40" i="1"/>
  <c r="J37" i="1"/>
  <c r="J30" i="1"/>
  <c r="J34" i="1"/>
  <c r="H20" i="1"/>
  <c r="G34" i="1"/>
  <c r="G40" i="1"/>
  <c r="G37" i="1"/>
  <c r="G30" i="1"/>
  <c r="J29" i="1"/>
  <c r="L29" i="1" s="1"/>
  <c r="E26" i="7"/>
  <c r="D42" i="1"/>
  <c r="D46" i="1" s="1"/>
  <c r="D47" i="1" s="1"/>
  <c r="K20" i="1"/>
  <c r="H22" i="7"/>
  <c r="G21" i="7"/>
  <c r="L27" i="4" s="1"/>
  <c r="I10" i="7"/>
  <c r="I9" i="7" s="1"/>
  <c r="N21" i="4" s="1"/>
  <c r="H8" i="7"/>
  <c r="H7" i="7" s="1"/>
  <c r="M22" i="4" s="1"/>
  <c r="L11" i="5" s="1"/>
  <c r="H14" i="7"/>
  <c r="H13" i="7" s="1"/>
  <c r="M24" i="4" s="1"/>
  <c r="L10" i="5" s="1"/>
  <c r="E42" i="1"/>
  <c r="E46" i="1" s="1"/>
  <c r="E47" i="1" s="1"/>
  <c r="G23" i="7"/>
  <c r="H24" i="7"/>
  <c r="H18" i="7"/>
  <c r="H17" i="7" s="1"/>
  <c r="I20" i="7"/>
  <c r="F5" i="4"/>
  <c r="F42" i="1"/>
  <c r="C27" i="12"/>
  <c r="I7" i="12" s="1"/>
  <c r="N29" i="12"/>
  <c r="H10" i="12" s="1"/>
  <c r="P11" i="12"/>
  <c r="K11" i="12"/>
  <c r="O11" i="12"/>
  <c r="J11" i="12"/>
  <c r="Q11" i="12"/>
  <c r="N11" i="12"/>
  <c r="I11" i="12"/>
  <c r="M11" i="12"/>
  <c r="L11" i="12"/>
  <c r="I33" i="12"/>
  <c r="E16" i="20"/>
  <c r="E19" i="20"/>
  <c r="D67" i="20"/>
  <c r="E15" i="12" s="1"/>
  <c r="D15" i="12"/>
  <c r="D9" i="12"/>
  <c r="E9" i="12"/>
  <c r="E17" i="12"/>
  <c r="D17" i="12"/>
  <c r="D10" i="12"/>
  <c r="E10" i="12"/>
  <c r="F16" i="20"/>
  <c r="F19" i="20"/>
  <c r="G27" i="20"/>
  <c r="F35" i="12"/>
  <c r="N32" i="12"/>
  <c r="H13" i="12" s="1"/>
  <c r="D13" i="12"/>
  <c r="E13" i="12"/>
  <c r="F32" i="12"/>
  <c r="D12" i="12"/>
  <c r="E12" i="12"/>
  <c r="I29" i="12"/>
  <c r="G32" i="12"/>
  <c r="L30" i="12"/>
  <c r="F11" i="12" s="1"/>
  <c r="D42" i="20"/>
  <c r="D43" i="20"/>
  <c r="D37" i="20"/>
  <c r="J28" i="12"/>
  <c r="H40" i="20"/>
  <c r="H39" i="20"/>
  <c r="K7" i="12"/>
  <c r="N33" i="5" l="1"/>
  <c r="M21" i="4"/>
  <c r="L12" i="5" s="1"/>
  <c r="M12" i="5" s="1"/>
  <c r="K29" i="5"/>
  <c r="L45" i="1"/>
  <c r="L8" i="4"/>
  <c r="K16" i="5" s="1"/>
  <c r="M45" i="1"/>
  <c r="M8" i="4"/>
  <c r="H8" i="11" s="1"/>
  <c r="O43" i="4"/>
  <c r="J10" i="6"/>
  <c r="L26" i="6" s="1"/>
  <c r="J25" i="6"/>
  <c r="I25" i="6"/>
  <c r="I28" i="6" s="1"/>
  <c r="N44" i="1" s="1"/>
  <c r="K25" i="6"/>
  <c r="F5" i="6"/>
  <c r="J5" i="5"/>
  <c r="L5" i="1"/>
  <c r="M5" i="1" s="1"/>
  <c r="N5" i="1" s="1"/>
  <c r="O5" i="1" s="1"/>
  <c r="P5" i="1" s="1"/>
  <c r="Q5" i="1" s="1"/>
  <c r="Q19" i="1"/>
  <c r="P39" i="1"/>
  <c r="P33" i="1"/>
  <c r="G5" i="4"/>
  <c r="M36" i="1"/>
  <c r="M41" i="1" s="1"/>
  <c r="M9" i="4" s="1"/>
  <c r="N37" i="1"/>
  <c r="N36" i="1" s="1"/>
  <c r="N41" i="1" s="1"/>
  <c r="N9" i="4" s="1"/>
  <c r="M29" i="1"/>
  <c r="L27" i="1"/>
  <c r="L30" i="1" s="1"/>
  <c r="P37" i="1"/>
  <c r="P36" i="1" s="1"/>
  <c r="Q37" i="1"/>
  <c r="O37" i="1"/>
  <c r="O36" i="1" s="1"/>
  <c r="O41" i="1" s="1"/>
  <c r="O9" i="4" s="1"/>
  <c r="P36" i="4"/>
  <c r="O16" i="4"/>
  <c r="O15" i="4" s="1"/>
  <c r="D43" i="1"/>
  <c r="F46" i="1"/>
  <c r="F47" i="1" s="1"/>
  <c r="F43" i="1"/>
  <c r="I31" i="1"/>
  <c r="H31" i="1"/>
  <c r="E43" i="1"/>
  <c r="G19" i="7"/>
  <c r="J10" i="7"/>
  <c r="J9" i="7" s="1"/>
  <c r="O21" i="4" s="1"/>
  <c r="I18" i="7"/>
  <c r="I24" i="7"/>
  <c r="H23" i="7"/>
  <c r="C23" i="6"/>
  <c r="I19" i="7"/>
  <c r="J20" i="7"/>
  <c r="I14" i="7"/>
  <c r="I8" i="7"/>
  <c r="I22" i="7"/>
  <c r="H21" i="7"/>
  <c r="M27" i="4" s="1"/>
  <c r="E53" i="1"/>
  <c r="D53" i="1"/>
  <c r="J27" i="12"/>
  <c r="P7" i="12" s="1"/>
  <c r="D27" i="12"/>
  <c r="J7" i="12" s="1"/>
  <c r="N31" i="12"/>
  <c r="H12" i="12" s="1"/>
  <c r="C24" i="6"/>
  <c r="G28" i="12"/>
  <c r="M9" i="12" s="1"/>
  <c r="P12" i="12"/>
  <c r="I12" i="12"/>
  <c r="L12" i="12"/>
  <c r="Q12" i="12"/>
  <c r="K12" i="12"/>
  <c r="O12" i="12"/>
  <c r="J12" i="12"/>
  <c r="M12" i="12"/>
  <c r="N12" i="12"/>
  <c r="O13" i="12"/>
  <c r="M13" i="12"/>
  <c r="I13" i="12"/>
  <c r="L13" i="12"/>
  <c r="Q13" i="12"/>
  <c r="N13" i="12"/>
  <c r="P13" i="12"/>
  <c r="J13" i="12"/>
  <c r="K13" i="12"/>
  <c r="N28" i="12"/>
  <c r="H9" i="12" s="1"/>
  <c r="J15" i="12"/>
  <c r="O15" i="12"/>
  <c r="N15" i="12"/>
  <c r="M15" i="12"/>
  <c r="I15" i="12"/>
  <c r="Q15" i="12"/>
  <c r="K15" i="12"/>
  <c r="P15" i="12"/>
  <c r="F33" i="12"/>
  <c r="L15" i="12" s="1"/>
  <c r="E20" i="20"/>
  <c r="E26" i="20"/>
  <c r="D39" i="20"/>
  <c r="D40" i="20"/>
  <c r="F29" i="12"/>
  <c r="J29" i="12"/>
  <c r="P10" i="12" s="1"/>
  <c r="M30" i="12"/>
  <c r="G11" i="12" s="1"/>
  <c r="F20" i="20"/>
  <c r="F26" i="20"/>
  <c r="K17" i="12"/>
  <c r="N17" i="12"/>
  <c r="L17" i="12"/>
  <c r="I17" i="12"/>
  <c r="O17" i="12"/>
  <c r="Q17" i="12"/>
  <c r="J17" i="12"/>
  <c r="K10" i="12"/>
  <c r="I10" i="12"/>
  <c r="L10" i="12"/>
  <c r="J10" i="12"/>
  <c r="N10" i="12"/>
  <c r="Q10" i="12"/>
  <c r="O10" i="12"/>
  <c r="O9" i="12"/>
  <c r="I9" i="12"/>
  <c r="Q9" i="12"/>
  <c r="J9" i="12"/>
  <c r="L9" i="12"/>
  <c r="P9" i="12"/>
  <c r="K9" i="12"/>
  <c r="N9" i="12"/>
  <c r="I13" i="7" l="1"/>
  <c r="N24" i="4" s="1"/>
  <c r="M10" i="5" s="1"/>
  <c r="L16" i="5"/>
  <c r="L29" i="5"/>
  <c r="N12" i="5"/>
  <c r="G25" i="7"/>
  <c r="L26" i="4"/>
  <c r="L30" i="4" s="1"/>
  <c r="N45" i="1"/>
  <c r="N8" i="4"/>
  <c r="I8" i="11" s="1"/>
  <c r="P43" i="4"/>
  <c r="K10" i="6"/>
  <c r="K27" i="6" s="1"/>
  <c r="J26" i="6"/>
  <c r="J28" i="6" s="1"/>
  <c r="O44" i="1" s="1"/>
  <c r="K26" i="6"/>
  <c r="I27" i="12"/>
  <c r="O7" i="12" s="1"/>
  <c r="N29" i="1"/>
  <c r="M27" i="1"/>
  <c r="M30" i="1" s="1"/>
  <c r="P41" i="1"/>
  <c r="P9" i="4" s="1"/>
  <c r="L31" i="1"/>
  <c r="L42" i="1"/>
  <c r="H5" i="4"/>
  <c r="Q33" i="1"/>
  <c r="Q36" i="1"/>
  <c r="Q39" i="1"/>
  <c r="Q36" i="4"/>
  <c r="P16" i="4"/>
  <c r="P15" i="4" s="1"/>
  <c r="O33" i="5" s="1"/>
  <c r="F53" i="1"/>
  <c r="F57" i="1" s="1"/>
  <c r="H19" i="7"/>
  <c r="J14" i="7"/>
  <c r="J13" i="7" s="1"/>
  <c r="O24" i="4" s="1"/>
  <c r="N10" i="5" s="1"/>
  <c r="K10" i="7"/>
  <c r="B6" i="6"/>
  <c r="E57" i="1"/>
  <c r="E56" i="1"/>
  <c r="J8" i="7"/>
  <c r="J19" i="7"/>
  <c r="K20" i="7"/>
  <c r="L20" i="7" s="1"/>
  <c r="L19" i="7" s="1"/>
  <c r="J18" i="7"/>
  <c r="J24" i="7"/>
  <c r="I23" i="7"/>
  <c r="F56" i="1"/>
  <c r="J31" i="1"/>
  <c r="D57" i="1"/>
  <c r="D56" i="1"/>
  <c r="J22" i="7"/>
  <c r="I21" i="7"/>
  <c r="N27" i="4" s="1"/>
  <c r="G42" i="1"/>
  <c r="G43" i="1" s="1"/>
  <c r="G31" i="1"/>
  <c r="H42" i="1"/>
  <c r="H43" i="1" s="1"/>
  <c r="G27" i="12"/>
  <c r="M7" i="12" s="1"/>
  <c r="F54" i="1"/>
  <c r="D54" i="1"/>
  <c r="E54" i="1"/>
  <c r="L35" i="12"/>
  <c r="F17" i="12" s="1"/>
  <c r="F27" i="20"/>
  <c r="F28" i="20"/>
  <c r="F30" i="20" s="1"/>
  <c r="G29" i="12"/>
  <c r="M10" i="12" s="1"/>
  <c r="L18" i="12"/>
  <c r="L19" i="12"/>
  <c r="L20" i="12"/>
  <c r="I20" i="12"/>
  <c r="I19" i="12"/>
  <c r="I18" i="12"/>
  <c r="N18" i="12"/>
  <c r="N19" i="12"/>
  <c r="N20" i="12"/>
  <c r="J19" i="12"/>
  <c r="J18" i="12"/>
  <c r="J20" i="12"/>
  <c r="O19" i="12"/>
  <c r="O18" i="12"/>
  <c r="O20" i="12"/>
  <c r="E28" i="20"/>
  <c r="G28" i="20" s="1"/>
  <c r="E30" i="20"/>
  <c r="E27" i="20"/>
  <c r="M32" i="12"/>
  <c r="G13" i="12" s="1"/>
  <c r="K20" i="12"/>
  <c r="K19" i="12"/>
  <c r="K18" i="12"/>
  <c r="Q18" i="12"/>
  <c r="Q20" i="12"/>
  <c r="Q19" i="12"/>
  <c r="H19" i="12"/>
  <c r="H20" i="12"/>
  <c r="H18" i="12"/>
  <c r="L28" i="12"/>
  <c r="F9" i="12" s="1"/>
  <c r="J35" i="12"/>
  <c r="P17" i="12" s="1"/>
  <c r="P19" i="12" s="1"/>
  <c r="C25" i="6"/>
  <c r="F27" i="12"/>
  <c r="L7" i="12" s="1"/>
  <c r="M16" i="5" l="1"/>
  <c r="M29" i="5"/>
  <c r="H25" i="7"/>
  <c r="M26" i="4"/>
  <c r="M30" i="4" s="1"/>
  <c r="L10" i="7"/>
  <c r="L9" i="7" s="1"/>
  <c r="K9" i="7"/>
  <c r="P21" i="4" s="1"/>
  <c r="O12" i="5" s="1"/>
  <c r="O45" i="1"/>
  <c r="O8" i="4"/>
  <c r="J8" i="11" s="1"/>
  <c r="K28" i="6"/>
  <c r="P44" i="1" s="1"/>
  <c r="Q43" i="4"/>
  <c r="L10" i="6"/>
  <c r="L27" i="6" s="1"/>
  <c r="L28" i="6" s="1"/>
  <c r="Q44" i="1" s="1"/>
  <c r="I5" i="4"/>
  <c r="M31" i="1"/>
  <c r="M42" i="1"/>
  <c r="L46" i="1"/>
  <c r="L43" i="1"/>
  <c r="N27" i="1"/>
  <c r="O29" i="1"/>
  <c r="Q41" i="1"/>
  <c r="Q9" i="4" s="1"/>
  <c r="Q16" i="4"/>
  <c r="F36" i="5"/>
  <c r="F47" i="5" s="1"/>
  <c r="K19" i="7"/>
  <c r="F65" i="1"/>
  <c r="F68" i="1" s="1"/>
  <c r="F7" i="4"/>
  <c r="F31" i="4" s="1"/>
  <c r="K8" i="7"/>
  <c r="E65" i="1"/>
  <c r="E68" i="1" s="1"/>
  <c r="E7" i="4"/>
  <c r="E31" i="4" s="1"/>
  <c r="D65" i="1"/>
  <c r="D68" i="1" s="1"/>
  <c r="D7" i="4"/>
  <c r="D31" i="4" s="1"/>
  <c r="K18" i="7"/>
  <c r="H46" i="1"/>
  <c r="H53" i="1" s="1"/>
  <c r="H56" i="1" s="1"/>
  <c r="G46" i="1"/>
  <c r="G53" i="1" s="1"/>
  <c r="G56" i="1" s="1"/>
  <c r="K22" i="7"/>
  <c r="J21" i="7"/>
  <c r="O27" i="4" s="1"/>
  <c r="K24" i="7"/>
  <c r="J23" i="7"/>
  <c r="K31" i="1"/>
  <c r="K14" i="7"/>
  <c r="F37" i="20"/>
  <c r="F43" i="20"/>
  <c r="F42" i="20"/>
  <c r="E42" i="20"/>
  <c r="E43" i="20"/>
  <c r="L33" i="12" s="1"/>
  <c r="F15" i="12" s="1"/>
  <c r="E37" i="20"/>
  <c r="P20" i="12"/>
  <c r="C26" i="6"/>
  <c r="G29" i="20"/>
  <c r="G30" i="20"/>
  <c r="M31" i="12"/>
  <c r="G12" i="12" s="1"/>
  <c r="M28" i="12"/>
  <c r="G9" i="12" s="1"/>
  <c r="P18" i="12"/>
  <c r="G35" i="12"/>
  <c r="M17" i="12" s="1"/>
  <c r="M20" i="12" s="1"/>
  <c r="M18" i="12"/>
  <c r="N30" i="1" l="1"/>
  <c r="I7" i="7"/>
  <c r="I17" i="7"/>
  <c r="N16" i="5"/>
  <c r="N29" i="5"/>
  <c r="Q21" i="4"/>
  <c r="P12" i="5" s="1"/>
  <c r="L18" i="7"/>
  <c r="K23" i="7"/>
  <c r="L24" i="7"/>
  <c r="L23" i="7" s="1"/>
  <c r="K21" i="7"/>
  <c r="P27" i="4" s="1"/>
  <c r="L22" i="7"/>
  <c r="L21" i="7" s="1"/>
  <c r="K13" i="7"/>
  <c r="P24" i="4" s="1"/>
  <c r="O10" i="5" s="1"/>
  <c r="L14" i="7"/>
  <c r="L13" i="7" s="1"/>
  <c r="L8" i="7"/>
  <c r="P45" i="1"/>
  <c r="P8" i="4"/>
  <c r="K8" i="11" s="1"/>
  <c r="Q45" i="1"/>
  <c r="Q8" i="4"/>
  <c r="N31" i="1"/>
  <c r="N42" i="1"/>
  <c r="P29" i="1"/>
  <c r="O27" i="1"/>
  <c r="M46" i="1"/>
  <c r="H7" i="11" s="1"/>
  <c r="M43" i="1"/>
  <c r="L47" i="1"/>
  <c r="J5" i="4"/>
  <c r="Q15" i="4"/>
  <c r="P33" i="5" s="1"/>
  <c r="G36" i="5"/>
  <c r="G47" i="5" s="1"/>
  <c r="I42" i="1"/>
  <c r="G26" i="7"/>
  <c r="G27" i="7" s="1"/>
  <c r="D70" i="1"/>
  <c r="D71" i="1"/>
  <c r="G47" i="1"/>
  <c r="E70" i="1"/>
  <c r="E71" i="1"/>
  <c r="K27" i="12"/>
  <c r="Q7" i="12" s="1"/>
  <c r="H54" i="1"/>
  <c r="H47" i="1"/>
  <c r="F71" i="1"/>
  <c r="F70" i="1"/>
  <c r="F40" i="20"/>
  <c r="F39" i="20"/>
  <c r="L29" i="12"/>
  <c r="F10" i="12" s="1"/>
  <c r="L31" i="12"/>
  <c r="F12" i="12" s="1"/>
  <c r="M29" i="12"/>
  <c r="G10" i="12" s="1"/>
  <c r="G18" i="12" s="1"/>
  <c r="L32" i="12"/>
  <c r="F13" i="12" s="1"/>
  <c r="M19" i="12"/>
  <c r="G43" i="20"/>
  <c r="M33" i="12" s="1"/>
  <c r="G15" i="12" s="1"/>
  <c r="G37" i="20"/>
  <c r="G42" i="20"/>
  <c r="E39" i="20"/>
  <c r="E40" i="20"/>
  <c r="C27" i="6"/>
  <c r="L27" i="12"/>
  <c r="F7" i="12" s="1"/>
  <c r="M27" i="12"/>
  <c r="G7" i="12" s="1"/>
  <c r="H13" i="11" l="1"/>
  <c r="H14" i="11" s="1"/>
  <c r="H17" i="11" s="1"/>
  <c r="I25" i="7"/>
  <c r="N26" i="4"/>
  <c r="N22" i="4"/>
  <c r="M11" i="5" s="1"/>
  <c r="I15" i="7"/>
  <c r="O30" i="1"/>
  <c r="J7" i="7"/>
  <c r="J17" i="7"/>
  <c r="L17" i="7"/>
  <c r="L25" i="7" s="1"/>
  <c r="O16" i="5"/>
  <c r="P16" i="5" s="1"/>
  <c r="Q27" i="4"/>
  <c r="O29" i="5"/>
  <c r="P29" i="5" s="1"/>
  <c r="Q24" i="4"/>
  <c r="P10" i="5" s="1"/>
  <c r="H26" i="7"/>
  <c r="H27" i="7" s="1"/>
  <c r="Q29" i="1"/>
  <c r="Q27" i="1" s="1"/>
  <c r="Q30" i="1" s="1"/>
  <c r="P27" i="1"/>
  <c r="N43" i="1"/>
  <c r="N46" i="1"/>
  <c r="I7" i="11" s="1"/>
  <c r="K5" i="4"/>
  <c r="M47" i="1"/>
  <c r="O31" i="1"/>
  <c r="O42" i="1"/>
  <c r="I46" i="1"/>
  <c r="I53" i="1" s="1"/>
  <c r="I56" i="1" s="1"/>
  <c r="I43" i="1"/>
  <c r="H36" i="5"/>
  <c r="H47" i="5" s="1"/>
  <c r="K42" i="1"/>
  <c r="K43" i="1" s="1"/>
  <c r="H57" i="1"/>
  <c r="G54" i="1"/>
  <c r="I47" i="1"/>
  <c r="H27" i="12"/>
  <c r="N7" i="12" s="1"/>
  <c r="J42" i="1"/>
  <c r="J43" i="1" s="1"/>
  <c r="G19" i="12"/>
  <c r="F20" i="12"/>
  <c r="F19" i="12"/>
  <c r="F18" i="12"/>
  <c r="G20" i="12"/>
  <c r="G39" i="20"/>
  <c r="G40" i="20"/>
  <c r="I13" i="11" l="1"/>
  <c r="I14" i="11" s="1"/>
  <c r="I17" i="11" s="1"/>
  <c r="P30" i="1"/>
  <c r="K7" i="7"/>
  <c r="K17" i="7"/>
  <c r="O26" i="4"/>
  <c r="J25" i="7"/>
  <c r="O22" i="4"/>
  <c r="J15" i="7"/>
  <c r="N30" i="4"/>
  <c r="M28" i="5"/>
  <c r="L7" i="7"/>
  <c r="N47" i="1"/>
  <c r="O43" i="1"/>
  <c r="O46" i="1"/>
  <c r="J7" i="11" s="1"/>
  <c r="P31" i="1"/>
  <c r="P42" i="1"/>
  <c r="Q31" i="1"/>
  <c r="Q42" i="1"/>
  <c r="I26" i="7"/>
  <c r="I27" i="7" s="1"/>
  <c r="I28" i="7" s="1"/>
  <c r="K46" i="1"/>
  <c r="K53" i="1" s="1"/>
  <c r="J46" i="1"/>
  <c r="J53" i="1" s="1"/>
  <c r="G57" i="1"/>
  <c r="I57" i="1"/>
  <c r="I54" i="1"/>
  <c r="H7" i="4"/>
  <c r="H31" i="4" s="1"/>
  <c r="H65" i="1"/>
  <c r="H68" i="1" s="1"/>
  <c r="J13" i="11" l="1"/>
  <c r="J14" i="11" s="1"/>
  <c r="J17" i="11" s="1"/>
  <c r="P26" i="4"/>
  <c r="K25" i="7"/>
  <c r="Q26" i="4"/>
  <c r="L15" i="7"/>
  <c r="L26" i="7" s="1"/>
  <c r="Q22" i="4"/>
  <c r="Q30" i="4" s="1"/>
  <c r="N11" i="5"/>
  <c r="O30" i="4"/>
  <c r="K15" i="7"/>
  <c r="K26" i="7" s="1"/>
  <c r="L27" i="7" s="1"/>
  <c r="P22" i="4"/>
  <c r="P30" i="4" s="1"/>
  <c r="N28" i="5"/>
  <c r="M32" i="5"/>
  <c r="M36" i="5" s="1"/>
  <c r="P46" i="1"/>
  <c r="K7" i="11" s="1"/>
  <c r="P43" i="1"/>
  <c r="Q46" i="1"/>
  <c r="Q43" i="1"/>
  <c r="O47" i="1"/>
  <c r="J36" i="5"/>
  <c r="J47" i="5" s="1"/>
  <c r="I36" i="5"/>
  <c r="I47" i="5" s="1"/>
  <c r="N27" i="12"/>
  <c r="H7" i="12" s="1"/>
  <c r="K47" i="1"/>
  <c r="K54" i="1"/>
  <c r="J26" i="7"/>
  <c r="J27" i="7" s="1"/>
  <c r="H71" i="1"/>
  <c r="H70" i="1"/>
  <c r="I7" i="4"/>
  <c r="I31" i="4" s="1"/>
  <c r="I65" i="1"/>
  <c r="I68" i="1" s="1"/>
  <c r="G7" i="4"/>
  <c r="G31" i="4" s="1"/>
  <c r="G65" i="1"/>
  <c r="G68" i="1" s="1"/>
  <c r="J47" i="1"/>
  <c r="F21" i="11" l="1"/>
  <c r="F23" i="11" s="1"/>
  <c r="F24" i="11" s="1"/>
  <c r="E33" i="11" s="1"/>
  <c r="K13" i="11"/>
  <c r="K14" i="11" s="1"/>
  <c r="L28" i="7"/>
  <c r="J28" i="7"/>
  <c r="O28" i="5"/>
  <c r="N32" i="5"/>
  <c r="N36" i="5" s="1"/>
  <c r="O11" i="5"/>
  <c r="P11" i="5" s="1"/>
  <c r="Q47" i="1"/>
  <c r="P47" i="1"/>
  <c r="J54" i="1"/>
  <c r="K27" i="7"/>
  <c r="K28" i="7" s="1"/>
  <c r="G70" i="1"/>
  <c r="G71" i="1"/>
  <c r="I70" i="1"/>
  <c r="I71" i="1"/>
  <c r="F26" i="11" l="1"/>
  <c r="F28" i="11" s="1"/>
  <c r="F29" i="11" s="1"/>
  <c r="F33" i="11" s="1"/>
  <c r="K17" i="11"/>
  <c r="G18" i="11" s="1"/>
  <c r="P28" i="5"/>
  <c r="P32" i="5" s="1"/>
  <c r="P36" i="5" s="1"/>
  <c r="O32" i="5"/>
  <c r="O36" i="5" s="1"/>
  <c r="J56" i="1"/>
  <c r="J57" i="1"/>
  <c r="J7" i="4" s="1"/>
  <c r="J31" i="4" s="1"/>
  <c r="E32" i="11" l="1"/>
  <c r="E34" i="11" s="1"/>
  <c r="E36" i="11" s="1"/>
  <c r="E38" i="11" s="1"/>
  <c r="F32" i="11"/>
  <c r="F34" i="11"/>
  <c r="F36" i="11" s="1"/>
  <c r="F38" i="11" s="1"/>
  <c r="J65" i="1"/>
  <c r="J68" i="1" s="1"/>
  <c r="J70" i="1" s="1"/>
  <c r="J71" i="1" l="1"/>
  <c r="K56" i="1"/>
  <c r="L56" i="1" s="1"/>
  <c r="K57" i="1"/>
  <c r="K7" i="4" s="1"/>
  <c r="K31" i="4" s="1"/>
  <c r="M56" i="1" l="1"/>
  <c r="K65" i="1"/>
  <c r="K68" i="1" s="1"/>
  <c r="K71" i="1" s="1"/>
  <c r="N56" i="1" l="1"/>
  <c r="K70" i="1"/>
  <c r="D61" i="4"/>
  <c r="D63" i="4" s="1"/>
  <c r="E61" i="4"/>
  <c r="E63" i="4" s="1"/>
  <c r="F61" i="4"/>
  <c r="F63" i="4" s="1"/>
  <c r="G62" i="4" s="1"/>
  <c r="G61" i="4"/>
  <c r="H61" i="4"/>
  <c r="I61" i="4"/>
  <c r="J61" i="4"/>
  <c r="K61" i="4"/>
  <c r="O56" i="1" l="1"/>
  <c r="G63" i="4"/>
  <c r="H62" i="4" s="1"/>
  <c r="H63" i="4" s="1"/>
  <c r="I62" i="4" s="1"/>
  <c r="I63" i="4" s="1"/>
  <c r="J62" i="4" s="1"/>
  <c r="J63" i="4" s="1"/>
  <c r="K62" i="4" s="1"/>
  <c r="K63" i="4" s="1"/>
  <c r="L62" i="4" s="1"/>
  <c r="P56" i="1" l="1"/>
  <c r="F13" i="5"/>
  <c r="F23" i="5" s="1"/>
  <c r="F49" i="5" s="1"/>
  <c r="Q56" i="1" l="1"/>
  <c r="G13" i="5"/>
  <c r="G23" i="5" s="1"/>
  <c r="G49" i="5" s="1"/>
  <c r="H13" i="5" l="1"/>
  <c r="H23" i="5" s="1"/>
  <c r="H49" i="5" s="1"/>
  <c r="I13" i="5" l="1"/>
  <c r="I23" i="5" s="1"/>
  <c r="I49" i="5" s="1"/>
  <c r="J13" i="5" l="1"/>
  <c r="J23" i="5" s="1"/>
  <c r="J49" i="5" s="1"/>
  <c r="D49" i="5"/>
  <c r="K8" i="5"/>
  <c r="L8" i="5"/>
  <c r="M8" i="5"/>
  <c r="N8" i="5"/>
  <c r="O8" i="5"/>
  <c r="P8" i="5"/>
  <c r="K13" i="5"/>
  <c r="L13" i="5"/>
  <c r="M13" i="5"/>
  <c r="N13" i="5"/>
  <c r="O13" i="5"/>
  <c r="P13" i="5"/>
  <c r="K23" i="5"/>
  <c r="L23" i="5"/>
  <c r="M23" i="5"/>
  <c r="N23" i="5"/>
  <c r="O23" i="5"/>
  <c r="P23" i="5"/>
  <c r="K44" i="5"/>
  <c r="L44" i="5"/>
  <c r="M44" i="5"/>
  <c r="N44" i="5"/>
  <c r="O44" i="5"/>
  <c r="P44" i="5"/>
  <c r="K45" i="5"/>
  <c r="L45" i="5"/>
  <c r="M45" i="5"/>
  <c r="N45" i="5"/>
  <c r="O45" i="5"/>
  <c r="P45" i="5"/>
  <c r="K47" i="5"/>
  <c r="L47" i="5"/>
  <c r="M47" i="5"/>
  <c r="N47" i="5"/>
  <c r="O47" i="5"/>
  <c r="P47" i="5"/>
  <c r="K49" i="5"/>
  <c r="L49" i="5"/>
  <c r="M49" i="5"/>
  <c r="N49" i="5"/>
  <c r="O49" i="5"/>
  <c r="P49" i="5"/>
  <c r="L7" i="4"/>
  <c r="M7" i="4"/>
  <c r="N7" i="4"/>
  <c r="O7" i="4"/>
  <c r="P7" i="4"/>
  <c r="Q7" i="4"/>
  <c r="L31" i="4"/>
  <c r="M31" i="4"/>
  <c r="N31" i="4"/>
  <c r="O31" i="4"/>
  <c r="P31" i="4"/>
  <c r="Q31" i="4"/>
  <c r="L61" i="4"/>
  <c r="M61" i="4"/>
  <c r="N61" i="4"/>
  <c r="O61" i="4"/>
  <c r="P61" i="4"/>
  <c r="Q61" i="4"/>
  <c r="M62" i="4"/>
  <c r="N62" i="4"/>
  <c r="O62" i="4"/>
  <c r="P62" i="4"/>
  <c r="Q62" i="4"/>
  <c r="L63" i="4"/>
  <c r="M63" i="4"/>
  <c r="N63" i="4"/>
  <c r="O63" i="4"/>
  <c r="P63" i="4"/>
  <c r="Q63" i="4"/>
  <c r="L65" i="4"/>
  <c r="M65" i="4"/>
  <c r="N65" i="4"/>
  <c r="O65" i="4"/>
  <c r="P65" i="4"/>
  <c r="Q65" i="4"/>
  <c r="H7" i="8"/>
  <c r="I7" i="8"/>
  <c r="J7" i="8"/>
  <c r="K7" i="8"/>
  <c r="L7" i="8"/>
  <c r="G8" i="8"/>
  <c r="H8" i="8"/>
  <c r="I8" i="8"/>
  <c r="J8" i="8"/>
  <c r="K8" i="8"/>
  <c r="L8" i="8"/>
  <c r="G10" i="8"/>
  <c r="H10" i="8"/>
  <c r="I10" i="8"/>
  <c r="J10" i="8"/>
  <c r="K10" i="8"/>
  <c r="L10" i="8"/>
  <c r="G49" i="8"/>
  <c r="H49" i="8"/>
  <c r="I49" i="8"/>
  <c r="J49" i="8"/>
  <c r="K49" i="8"/>
  <c r="L49" i="8"/>
  <c r="G50" i="8"/>
  <c r="H50" i="8"/>
  <c r="I50" i="8"/>
  <c r="J50" i="8"/>
  <c r="K50" i="8"/>
  <c r="L50" i="8"/>
  <c r="G52" i="8"/>
  <c r="H52" i="8"/>
  <c r="I52" i="8"/>
  <c r="J52" i="8"/>
  <c r="K52" i="8"/>
  <c r="L52" i="8"/>
  <c r="L51" i="1"/>
  <c r="M51" i="1"/>
  <c r="N51" i="1"/>
  <c r="O51" i="1"/>
  <c r="P51" i="1"/>
  <c r="Q51" i="1"/>
  <c r="L52" i="1"/>
  <c r="M52" i="1"/>
  <c r="N52" i="1"/>
  <c r="O52" i="1"/>
  <c r="P52" i="1"/>
  <c r="Q52" i="1"/>
  <c r="L53" i="1"/>
  <c r="M53" i="1"/>
  <c r="N53" i="1"/>
  <c r="O53" i="1"/>
  <c r="P53" i="1"/>
  <c r="Q53" i="1"/>
  <c r="L54" i="1"/>
  <c r="M54" i="1"/>
  <c r="N54" i="1"/>
  <c r="O54" i="1"/>
  <c r="P54" i="1"/>
  <c r="Q54" i="1"/>
  <c r="L55" i="1"/>
  <c r="M55" i="1"/>
  <c r="N55" i="1"/>
  <c r="O55" i="1"/>
  <c r="P55" i="1"/>
  <c r="Q55" i="1"/>
  <c r="L57" i="1"/>
  <c r="M57" i="1"/>
  <c r="N57" i="1"/>
  <c r="O57" i="1"/>
  <c r="P57" i="1"/>
  <c r="Q57" i="1"/>
  <c r="L65" i="1"/>
  <c r="M65" i="1"/>
  <c r="N65" i="1"/>
  <c r="O65" i="1"/>
  <c r="P65" i="1"/>
  <c r="Q65" i="1"/>
  <c r="L68" i="1"/>
  <c r="M68" i="1"/>
  <c r="N68" i="1"/>
  <c r="O68" i="1"/>
  <c r="P68" i="1"/>
  <c r="Q68" i="1"/>
  <c r="L70" i="1"/>
  <c r="M70" i="1"/>
  <c r="N70" i="1"/>
  <c r="O70" i="1"/>
  <c r="P70" i="1"/>
  <c r="Q70" i="1"/>
  <c r="L71" i="1"/>
  <c r="M71" i="1"/>
  <c r="N71" i="1"/>
  <c r="O71" i="1"/>
  <c r="P71" i="1"/>
  <c r="Q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Kaizo</author>
  </authors>
  <commentList>
    <comment ref="L19" authorId="0" shapeId="0" xr:uid="{FAB1944C-2505-43E3-A80E-12996F0A7AD7}">
      <text>
        <r>
          <rPr>
            <b/>
            <sz val="9"/>
            <color indexed="81"/>
            <rFont val="Tahoma"/>
            <family val="2"/>
          </rPr>
          <t>Kaizo:</t>
        </r>
        <r>
          <rPr>
            <sz val="9"/>
            <color indexed="81"/>
            <rFont val="Tahoma"/>
            <family val="2"/>
          </rPr>
          <t xml:space="preserve">
High Estimates. Justification for this assumption: Grwoth in the energy segment and push for EV partly due to the blockade of the Strait of Hormuz accelerating the decoupling from oil and fuel. However, the resulting inflation may cause interest rates to spike, causing a decrease in auto sales and leasings. NEED TO RESEARCH MORE LATER ON THE DIFFERENT SEGMENTS. SEE PIGNATARO P.36.
Source: Yahoo.com and SeekingAlpha.com 
</t>
        </r>
      </text>
    </comment>
    <comment ref="M19" authorId="0" shapeId="0" xr:uid="{FB5C45D9-20CD-463E-A404-19D6142612B0}">
      <text>
        <r>
          <rPr>
            <b/>
            <sz val="9"/>
            <color indexed="81"/>
            <rFont val="Tahoma"/>
            <family val="2"/>
          </rPr>
          <t>Kaizo:</t>
        </r>
        <r>
          <rPr>
            <sz val="9"/>
            <color indexed="81"/>
            <rFont val="Tahoma"/>
            <family val="2"/>
          </rPr>
          <t xml:space="preserve">
Kaizo:
High Estimates. Justification for this assumption: Grwoth in the energy segment and push for EV partly due to the blockade of the Strait of Hormuz accelerating the decoupling from oil and fuel. However, the resulting inflation may cause interest rates to spike, causing a decrease in auto sales and leasings. Also effect of Robotaxi and Optimus? NEED TO RESEARCH MORE LATER ON THE DIFFERENT SEGMENTS. SEE PIGNATARO P.36.
Source: Yahoo.com and SeekingAlpha.com </t>
        </r>
      </text>
    </comment>
    <comment ref="N20" authorId="0" shapeId="0" xr:uid="{D266EECB-5D48-4EB0-B441-465ACCF078BB}">
      <text>
        <r>
          <rPr>
            <b/>
            <sz val="9"/>
            <color indexed="81"/>
            <rFont val="Tahoma"/>
            <family val="2"/>
          </rPr>
          <t>Kaizo:</t>
        </r>
        <r>
          <rPr>
            <sz val="9"/>
            <color indexed="81"/>
            <rFont val="Tahoma"/>
            <family val="2"/>
          </rPr>
          <t xml:space="preserve">
General assumption, based on  InvestAnswers video "Tesla’s Imminent Profit Pivot "'s section on future revenue streams.
Very conserative IMO, need to review it later.</t>
        </r>
      </text>
    </comment>
    <comment ref="C27" authorId="0" shapeId="0" xr:uid="{3EB26E4C-B124-4C68-AABA-FBE8B1A0C853}">
      <text>
        <r>
          <rPr>
            <b/>
            <sz val="9"/>
            <color indexed="81"/>
            <rFont val="Tahoma"/>
            <family val="2"/>
          </rPr>
          <t>Kaizo:</t>
        </r>
        <r>
          <rPr>
            <sz val="9"/>
            <color indexed="81"/>
            <rFont val="Tahoma"/>
            <family val="2"/>
          </rPr>
          <t xml:space="preserve">
According to TSLA's 2025 10-K, depreciation is included in the Cost of goods sold in the income statement.</t>
        </r>
      </text>
    </comment>
    <comment ref="L29" authorId="0" shapeId="0" xr:uid="{4841FE1F-EB94-4CCE-9AE3-16353FDBDB1A}">
      <text>
        <r>
          <rPr>
            <b/>
            <sz val="9"/>
            <color indexed="81"/>
            <rFont val="Tahoma"/>
            <family val="2"/>
          </rPr>
          <t>Kaizo:</t>
        </r>
        <r>
          <rPr>
            <sz val="9"/>
            <color indexed="81"/>
            <rFont val="Tahoma"/>
            <family val="2"/>
          </rPr>
          <t xml:space="preserve">
See Pignataro pp. 42-43
Assumption made using one of the 5 common methods to make projectiosn based on prior years' trends. 
 Review assumption later</t>
        </r>
      </text>
    </comment>
    <comment ref="L34" authorId="0" shapeId="0" xr:uid="{5600905C-3D79-4A8D-9D77-B78D0E982013}">
      <text>
        <r>
          <rPr>
            <b/>
            <sz val="9"/>
            <color indexed="81"/>
            <rFont val="Tahoma"/>
            <family val="2"/>
          </rPr>
          <t>Kaizo:</t>
        </r>
        <r>
          <rPr>
            <sz val="9"/>
            <color indexed="81"/>
            <rFont val="Tahoma"/>
            <family val="2"/>
          </rPr>
          <t xml:space="preserve">
We assume high spending in R&amp;D in the future. Assumption to review later</t>
        </r>
      </text>
    </comment>
    <comment ref="L37" authorId="0" shapeId="0" xr:uid="{8116D31C-016C-460D-9026-1B424970ED2C}">
      <text>
        <r>
          <rPr>
            <b/>
            <sz val="9"/>
            <color indexed="81"/>
            <rFont val="Tahoma"/>
            <family val="2"/>
          </rPr>
          <t>Kaizo:</t>
        </r>
        <r>
          <rPr>
            <sz val="9"/>
            <color indexed="81"/>
            <rFont val="Tahoma"/>
            <family val="2"/>
          </rPr>
          <t xml:space="preserve">
Assumption to review later. 2026-2028 based on one of Pignataro's common methods, then decrease as Optimus is rolled in.
</t>
        </r>
      </text>
    </comment>
    <comment ref="L40" authorId="0" shapeId="0" xr:uid="{5ECA8251-F2A3-477E-9E19-A22398053001}">
      <text>
        <r>
          <rPr>
            <b/>
            <sz val="9"/>
            <color indexed="81"/>
            <rFont val="Tahoma"/>
            <family val="2"/>
          </rPr>
          <t>Kaizo:</t>
        </r>
        <r>
          <rPr>
            <sz val="9"/>
            <color indexed="81"/>
            <rFont val="Tahoma"/>
            <family val="2"/>
          </rPr>
          <t xml:space="preserve">
Assumption to review later. Based on one of Pignataro's common methods. </t>
        </r>
      </text>
    </comment>
    <comment ref="B42" authorId="0" shapeId="0" xr:uid="{111ABD87-36EB-48F4-838A-C9A15DA3DFCC}">
      <text>
        <r>
          <rPr>
            <b/>
            <sz val="9"/>
            <color indexed="81"/>
            <rFont val="Tahoma"/>
            <family val="2"/>
          </rPr>
          <t>Kaizo:</t>
        </r>
        <r>
          <rPr>
            <sz val="9"/>
            <color indexed="81"/>
            <rFont val="Tahoma"/>
            <family val="2"/>
          </rPr>
          <t xml:space="preserve">
* We decide not to include Other Income into EBITDA as it is negligible and not core to TESLA's operations
</t>
        </r>
      </text>
    </comment>
    <comment ref="A48" authorId="0" shapeId="0" xr:uid="{BAFBE98D-1947-4E53-8F5B-3FB67D8B9676}">
      <text>
        <r>
          <rPr>
            <b/>
            <sz val="9"/>
            <color indexed="81"/>
            <rFont val="Tahoma"/>
            <family val="2"/>
          </rPr>
          <t>Kaizo:</t>
        </r>
        <r>
          <rPr>
            <sz val="9"/>
            <color indexed="81"/>
            <rFont val="Tahoma"/>
            <family val="2"/>
          </rPr>
          <t xml:space="preserve">
In this model, income is negative and in parentheses in the income statement. Expenses are positive.</t>
        </r>
      </text>
    </comment>
    <comment ref="G48" authorId="0" shapeId="0" xr:uid="{3D36A92B-0B19-4D73-B832-5BAD078E36F1}">
      <text>
        <r>
          <rPr>
            <b/>
            <sz val="9"/>
            <color indexed="81"/>
            <rFont val="Tahoma"/>
            <family val="2"/>
          </rPr>
          <t>Kaizo:</t>
        </r>
        <r>
          <rPr>
            <sz val="9"/>
            <color indexed="81"/>
            <rFont val="Tahoma"/>
            <family val="2"/>
          </rPr>
          <t xml:space="preserve">
Using the "repeat the cycle" only omitting 2020 as an anomaly (this line item depends on forex fluctuations)
</t>
        </r>
      </text>
    </comment>
    <comment ref="L48" authorId="0" shapeId="0" xr:uid="{7FA6652A-7A22-4DD9-A475-F257208C5539}">
      <text>
        <r>
          <rPr>
            <b/>
            <sz val="9"/>
            <color indexed="81"/>
            <rFont val="Tahoma"/>
            <family val="2"/>
          </rPr>
          <t>Kaizo:
Assumption: Used the "Repeat the cylce" porjection method from Pignataro, as this line item depends on FX and thus market fluctuations.
See Pgnataro pp.50-52</t>
        </r>
      </text>
    </comment>
    <comment ref="C64" authorId="0" shapeId="0" xr:uid="{63A3CACE-32F7-483D-8005-27F6FA13496A}">
      <text>
        <r>
          <rPr>
            <b/>
            <sz val="9"/>
            <color indexed="81"/>
            <rFont val="Tahoma"/>
            <family val="2"/>
          </rPr>
          <t>Kaizo:</t>
        </r>
        <r>
          <rPr>
            <sz val="9"/>
            <color indexed="81"/>
            <rFont val="Tahoma"/>
            <family val="2"/>
          </rPr>
          <t xml:space="preserve">
From TSLA's 2025 10-K p.61: We have further determined that the methodology for calculating the noncontrolling interest and redeemable noncontrolling interest balances that reflects the substantive profit-sharing arrangements is a balance sheet approach using the hypothetical liquidation at book value (“HLBV”) method.
COME BACK TO THIS ONCE BALANCE SHEET IS DONE</t>
        </r>
      </text>
    </comment>
    <comment ref="K64" authorId="0" shapeId="0" xr:uid="{55AD31E5-E9B7-410A-B2A2-719E2FE591A6}">
      <text>
        <r>
          <rPr>
            <b/>
            <sz val="9"/>
            <color indexed="81"/>
            <rFont val="Tahoma"/>
            <family val="2"/>
          </rPr>
          <t>Kaizo:</t>
        </r>
        <r>
          <rPr>
            <sz val="9"/>
            <color indexed="81"/>
            <rFont val="Tahoma"/>
            <family val="2"/>
          </rPr>
          <t xml:space="preserve">
TEMPORARY ASSUMPTION. Used the "Repeat the Cycle" method. REVIEW IT LATER.</t>
        </r>
      </text>
    </comment>
    <comment ref="L73" authorId="0" shapeId="0" xr:uid="{519FBD11-127E-4833-9F43-C0F91629A251}">
      <text>
        <r>
          <rPr>
            <b/>
            <sz val="9"/>
            <color indexed="81"/>
            <rFont val="Tahoma"/>
            <family val="2"/>
          </rPr>
          <t>Kaizo:</t>
        </r>
        <r>
          <rPr>
            <sz val="9"/>
            <color indexed="81"/>
            <rFont val="Tahoma"/>
            <family val="2"/>
          </rPr>
          <t xml:space="preserve">
As per cover of later 10Q, ended March, 31st 2026</t>
        </r>
      </text>
    </comment>
    <comment ref="L74" authorId="0" shapeId="0" xr:uid="{95014DC0-5FAD-4F5E-A186-69D1D382F062}">
      <text>
        <r>
          <rPr>
            <b/>
            <sz val="9"/>
            <color indexed="81"/>
            <rFont val="Tahoma"/>
            <family val="2"/>
          </rPr>
          <t>Kaizo:</t>
        </r>
        <r>
          <rPr>
            <sz val="9"/>
            <color indexed="81"/>
            <rFont val="Tahoma"/>
            <family val="2"/>
          </rPr>
          <t xml:space="preserve">
As per cover of later 10Q, ended March, 31st 2026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Kaizo</author>
    <author>tc={13226D40-6DEB-495A-A2DA-C1134FA1D71A}</author>
  </authors>
  <commentList>
    <comment ref="L9" authorId="0" shapeId="0" xr:uid="{79FC6EE1-60F4-4825-9991-3897A3343397}">
      <text>
        <r>
          <rPr>
            <b/>
            <sz val="9"/>
            <color indexed="81"/>
            <rFont val="Tahoma"/>
            <family val="2"/>
          </rPr>
          <t>Kaizo:</t>
        </r>
        <r>
          <rPr>
            <sz val="9"/>
            <color indexed="81"/>
            <rFont val="Tahoma"/>
            <family val="2"/>
          </rPr>
          <t xml:space="preserve">
I use the "Project out
as a percentage of an income statement or balance sheet line item” method to prject this line item</t>
        </r>
      </text>
    </comment>
    <comment ref="G11" authorId="0" shapeId="0" xr:uid="{D1E4A144-34B2-4704-998E-5A65086F5E69}">
      <text>
        <r>
          <rPr>
            <b/>
            <sz val="9"/>
            <color indexed="81"/>
            <rFont val="Tahoma"/>
            <family val="2"/>
          </rPr>
          <t>Kaizo:</t>
        </r>
        <r>
          <rPr>
            <sz val="9"/>
            <color indexed="81"/>
            <rFont val="Tahoma"/>
            <family val="2"/>
          </rPr>
          <t xml:space="preserve">
This line item is absent from 10-K documents from 2021 onward
</t>
        </r>
      </text>
    </comment>
    <comment ref="L12" authorId="0" shapeId="0" xr:uid="{CA02E5E1-C6EF-49F6-B345-77A24D270DB4}">
      <text>
        <r>
          <rPr>
            <b/>
            <sz val="9"/>
            <color indexed="81"/>
            <rFont val="Tahoma"/>
            <family val="2"/>
          </rPr>
          <t>Kaizo:</t>
        </r>
        <r>
          <rPr>
            <sz val="9"/>
            <color indexed="81"/>
            <rFont val="Tahoma"/>
            <family val="2"/>
          </rPr>
          <t xml:space="preserve">
I use the "Average of the last three years" methods, as this line item seems difficult to predict without internal knowledge and may be impacted by market fluctuations</t>
        </r>
      </text>
    </comment>
    <comment ref="G13" authorId="0" shapeId="0" xr:uid="{F0D64D78-372D-4AC7-9842-C27DFC98BA4A}">
      <text>
        <r>
          <rPr>
            <b/>
            <sz val="9"/>
            <color indexed="81"/>
            <rFont val="Tahoma"/>
            <family val="2"/>
          </rPr>
          <t>Kaizo:</t>
        </r>
        <r>
          <rPr>
            <sz val="9"/>
            <color indexed="81"/>
            <rFont val="Tahoma"/>
            <family val="2"/>
          </rPr>
          <t xml:space="preserve">
This line item is absent from 10-K documents from 2021 onward</t>
        </r>
      </text>
    </comment>
    <comment ref="L14" authorId="0" shapeId="0" xr:uid="{F0FFFE14-FA66-4085-BA1E-85C21510D53A}">
      <text>
        <r>
          <rPr>
            <b/>
            <sz val="9"/>
            <color indexed="81"/>
            <rFont val="Tahoma"/>
            <family val="2"/>
          </rPr>
          <t>Kaizo:</t>
        </r>
        <r>
          <rPr>
            <sz val="9"/>
            <color indexed="81"/>
            <rFont val="Tahoma"/>
            <family val="2"/>
          </rPr>
          <t xml:space="preserve">
I use the "Repeat the cycle" method as this line item depends heavily on market fluctuations</t>
        </r>
      </text>
    </comment>
    <comment ref="L16" authorId="0" shapeId="0" xr:uid="{28DD5C09-8C9B-45E3-97F7-A76382BEC78C}">
      <text>
        <r>
          <rPr>
            <b/>
            <sz val="9"/>
            <color indexed="81"/>
            <rFont val="Tahoma"/>
            <family val="2"/>
          </rPr>
          <t>Kaizo:</t>
        </r>
        <r>
          <rPr>
            <sz val="9"/>
            <color indexed="81"/>
            <rFont val="Tahoma"/>
            <family val="2"/>
          </rPr>
          <t xml:space="preserve">
I use the last two years' percentage of Non-cash interest and other operating activities wtr to Total Revenues to make projections for the newt years</t>
        </r>
      </text>
    </comment>
    <comment ref="C18" authorId="0" shapeId="0" xr:uid="{E181F97A-CB87-44BC-B5C3-FE3832771776}">
      <text>
        <r>
          <rPr>
            <b/>
            <sz val="9"/>
            <color indexed="81"/>
            <rFont val="Tahoma"/>
            <family val="2"/>
          </rPr>
          <t>Kaizo:</t>
        </r>
        <r>
          <rPr>
            <sz val="9"/>
            <color indexed="81"/>
            <rFont val="Tahoma"/>
            <family val="2"/>
          </rPr>
          <t xml:space="preserve">
See Pignataro p.152 for the problematic of this line item. The 10-K does not provide enough info for us to project the difference between Accounting Depreciation and Tax Depreciation. Tesla's deferred taxes item depends on too many "other items".</t>
        </r>
      </text>
    </comment>
    <comment ref="L18" authorId="0" shapeId="0" xr:uid="{ED427096-A539-44A9-BD0D-261DE57F4A02}">
      <text>
        <r>
          <rPr>
            <b/>
            <sz val="9"/>
            <color indexed="81"/>
            <rFont val="Tahoma"/>
            <family val="2"/>
          </rPr>
          <t>Kaizo:</t>
        </r>
        <r>
          <rPr>
            <sz val="9"/>
            <color indexed="81"/>
            <rFont val="Tahoma"/>
            <family val="2"/>
          </rPr>
          <t xml:space="preserve">
I use the conservative and last year methods from Pignataro</t>
        </r>
      </text>
    </comment>
    <comment ref="C19" authorId="0" shapeId="0" xr:uid="{EBC0FFA0-444C-4190-9328-A4804E955499}">
      <text>
        <r>
          <rPr>
            <b/>
            <sz val="9"/>
            <color indexed="81"/>
            <rFont val="Tahoma"/>
            <family val="2"/>
          </rPr>
          <t>Kaizo:</t>
        </r>
        <r>
          <rPr>
            <sz val="9"/>
            <color indexed="81"/>
            <rFont val="Tahoma"/>
            <family val="2"/>
          </rPr>
          <t xml:space="preserve">
This line item appears for the first time in a 10-K in 2022</t>
        </r>
      </text>
    </comment>
    <comment ref="L19" authorId="0" shapeId="0" xr:uid="{960A392C-DA3C-435A-8B89-86653DDBCAC5}">
      <text>
        <r>
          <rPr>
            <b/>
            <sz val="9"/>
            <color indexed="81"/>
            <rFont val="Tahoma"/>
            <family val="2"/>
          </rPr>
          <t>Kaizo:</t>
        </r>
        <r>
          <rPr>
            <sz val="9"/>
            <color indexed="81"/>
            <rFont val="Tahoma"/>
            <family val="2"/>
          </rPr>
          <t xml:space="preserve">
I use the "conservative" and the "last year number" methods to project this line item. </t>
        </r>
      </text>
    </comment>
    <comment ref="C23" authorId="0" shapeId="0" xr:uid="{65DD1F65-70DF-4BA0-A178-8FDDFC862C9F}">
      <text>
        <r>
          <rPr>
            <b/>
            <sz val="9"/>
            <color indexed="81"/>
            <rFont val="Tahoma"/>
            <family val="2"/>
          </rPr>
          <t>Kaizo:</t>
        </r>
        <r>
          <rPr>
            <sz val="9"/>
            <color indexed="81"/>
            <rFont val="Tahoma"/>
            <family val="2"/>
          </rPr>
          <t xml:space="preserve">
You need to project Automotive Leasing revenues in the income statement to calculate the days ratio in the OWC schedule. Do this later.</t>
        </r>
      </text>
    </comment>
    <comment ref="R23" authorId="0" shapeId="0" xr:uid="{B3047565-92FD-40D9-8D66-799EC6B40596}">
      <text>
        <r>
          <rPr>
            <b/>
            <sz val="9"/>
            <color indexed="81"/>
            <rFont val="Tahoma"/>
            <family val="2"/>
          </rPr>
          <t>Kaizo:</t>
        </r>
        <r>
          <rPr>
            <sz val="9"/>
            <color indexed="81"/>
            <rFont val="Tahoma"/>
            <family val="2"/>
          </rPr>
          <t xml:space="preserve">
ROW 24: This line item has not been included in 10-K since 2023. Here are the numbers provided up to 2022.
RESEARCH WHERE "OTHER NON-CURRENT ASSETS" ARE NOW LOCATED in the CFS 
</t>
        </r>
      </text>
    </comment>
    <comment ref="C24" authorId="0" shapeId="0" xr:uid="{453A9D12-A5C4-46C1-8A61-23FE85D218E4}">
      <text>
        <r>
          <rPr>
            <b/>
            <sz val="9"/>
            <color indexed="81"/>
            <rFont val="Tahoma"/>
            <family val="2"/>
          </rPr>
          <t>Kaizo:</t>
        </r>
        <r>
          <rPr>
            <sz val="9"/>
            <color indexed="81"/>
            <rFont val="Tahoma"/>
            <family val="2"/>
          </rPr>
          <t xml:space="preserve">
This item apparently includes other non-current assets since 2023. Verify later.</t>
        </r>
      </text>
    </comment>
    <comment ref="C26" authorId="0" shapeId="0" xr:uid="{2B9E7355-D514-47AE-B146-536DEE0D5F4D}">
      <text>
        <r>
          <rPr>
            <b/>
            <sz val="9"/>
            <color indexed="81"/>
            <rFont val="Tahoma"/>
            <family val="2"/>
          </rPr>
          <t>Kaizo:</t>
        </r>
        <r>
          <rPr>
            <sz val="9"/>
            <color indexed="81"/>
            <rFont val="Tahoma"/>
            <family val="2"/>
          </rPr>
          <t xml:space="preserve">
This item apparently includes other long-term liabilities since 2023. Verify later. 
</t>
        </r>
      </text>
    </comment>
    <comment ref="R27" authorId="0" shapeId="0" xr:uid="{6712D98D-249A-477C-925B-8E94065F04D7}">
      <text>
        <r>
          <rPr>
            <b/>
            <sz val="9"/>
            <color indexed="81"/>
            <rFont val="Tahoma"/>
            <family val="2"/>
          </rPr>
          <t>Kaizo:</t>
        </r>
        <r>
          <rPr>
            <sz val="9"/>
            <color indexed="81"/>
            <rFont val="Tahoma"/>
            <family val="2"/>
          </rPr>
          <t xml:space="preserve">
ROW 27: This line item has not been included in 10-K since 2023. Here are the numbers provided up to 2022.
RESEARCH WHERE "CUSTOMER DEPOSITS" ARE NOW LOCATED in the CFS </t>
        </r>
      </text>
    </comment>
    <comment ref="C29" authorId="0" shapeId="0" xr:uid="{9D165A2B-F3A4-487E-B071-B64F760B6A1B}">
      <text>
        <r>
          <rPr>
            <b/>
            <sz val="9"/>
            <color indexed="81"/>
            <rFont val="Tahoma"/>
            <family val="2"/>
          </rPr>
          <t>Kaizo:</t>
        </r>
        <r>
          <rPr>
            <sz val="9"/>
            <color indexed="81"/>
            <rFont val="Tahoma"/>
            <family val="2"/>
          </rPr>
          <t xml:space="preserve">
This line item has not been included in 10-K since 2023. Here are the numbers provided up to 2022.
RESEARCH WHERE "OTHER LT LIABILITIES" ARE NOW LOCATED in the CFS (probably in "Changes in AP…", verify using the 10K</t>
        </r>
      </text>
    </comment>
    <comment ref="R30" authorId="0" shapeId="0" xr:uid="{DF3442A7-C07E-4B3F-8777-27B393A7F9E1}">
      <text>
        <r>
          <rPr>
            <b/>
            <sz val="9"/>
            <color indexed="81"/>
            <rFont val="Tahoma"/>
            <family val="2"/>
          </rPr>
          <t>Kaizo:</t>
        </r>
        <r>
          <rPr>
            <sz val="9"/>
            <color indexed="81"/>
            <rFont val="Tahoma"/>
            <family val="2"/>
          </rPr>
          <t xml:space="preserve">
ROW 28: This line item has not been included in 10-K since 2023. Here are the numbers provided up to 2022.
RESEARCH WHERE "OTHER LT LIABILITIES" ARE NOW LOCATED in the CFS (probably in "Changes in AP…", verify using the 10K</t>
        </r>
      </text>
    </comment>
    <comment ref="G35" authorId="1" shapeId="0" xr:uid="{13226D40-6DEB-495A-A2DA-C1134FA1D71A}">
      <text>
        <t>[Threaded comment]
Your version of Excel allows you to read this threaded comment; however, any edits to it will get removed if the file is opened in a newer version of Excel. Learn more: https://go.microsoft.com/fwlink/?linkid=870924
Comment:
    Average of guidance given in 10-K 2020, p33.</t>
      </text>
    </comment>
    <comment ref="L35" authorId="0" shapeId="0" xr:uid="{5D184954-0D06-4BD3-BCAD-C4B46733C3FB}">
      <text>
        <r>
          <rPr>
            <b/>
            <sz val="9"/>
            <color indexed="81"/>
            <rFont val="Tahoma"/>
            <family val="2"/>
          </rPr>
          <t>Kaizo:</t>
        </r>
        <r>
          <rPr>
            <sz val="9"/>
            <color indexed="81"/>
            <rFont val="Tahoma"/>
            <family val="2"/>
          </rPr>
          <t xml:space="preserve">
per TSLA's Q1 2026 10-Q ended March, 31st 2026</t>
        </r>
      </text>
    </comment>
    <comment ref="C37" authorId="0" shapeId="0" xr:uid="{02713A0A-28AD-4653-9B70-28DE9A7F7450}">
      <text>
        <r>
          <rPr>
            <b/>
            <sz val="9"/>
            <color indexed="81"/>
            <rFont val="Tahoma"/>
            <family val="2"/>
          </rPr>
          <t>Kaizo:</t>
        </r>
        <r>
          <rPr>
            <sz val="9"/>
            <color indexed="81"/>
            <rFont val="Tahoma"/>
            <family val="2"/>
          </rPr>
          <t xml:space="preserve">
Possibly an item based on Cash Available, review later. 2026 assumption made using TSLA' Q1 2026 10-Q</t>
        </r>
      </text>
    </comment>
    <comment ref="L38" authorId="0" shapeId="0" xr:uid="{85EFC336-69E9-4F7D-8227-D0DBE9AC8DB8}">
      <text>
        <r>
          <rPr>
            <b/>
            <sz val="9"/>
            <color indexed="81"/>
            <rFont val="Tahoma"/>
            <family val="2"/>
          </rPr>
          <t>Kaizo:</t>
        </r>
        <r>
          <rPr>
            <sz val="9"/>
            <color indexed="81"/>
            <rFont val="Tahoma"/>
            <family val="2"/>
          </rPr>
          <t xml:space="preserve">
Based on TSLA's Q1 2026 10-K annualised. Reviw this later.
</t>
        </r>
      </text>
    </comment>
    <comment ref="C39" authorId="0" shapeId="0" xr:uid="{1703EF25-E629-4D96-80EC-946B110B035F}">
      <text>
        <r>
          <rPr>
            <b/>
            <sz val="9"/>
            <color indexed="81"/>
            <rFont val="Tahoma"/>
            <family val="2"/>
          </rPr>
          <t>Kaizo:</t>
        </r>
        <r>
          <rPr>
            <sz val="9"/>
            <color indexed="81"/>
            <rFont val="Tahoma"/>
            <family val="2"/>
          </rPr>
          <t xml:space="preserve">
Possibly an item based on Cash Available, review later.</t>
        </r>
      </text>
    </comment>
    <comment ref="C40" authorId="0" shapeId="0" xr:uid="{889FD18D-2C55-4F07-A408-7759A1F6B6AC}">
      <text>
        <r>
          <rPr>
            <b/>
            <sz val="9"/>
            <color indexed="81"/>
            <rFont val="Tahoma"/>
            <family val="2"/>
          </rPr>
          <t>Kaizo:</t>
        </r>
        <r>
          <rPr>
            <sz val="9"/>
            <color indexed="81"/>
            <rFont val="Tahoma"/>
            <family val="2"/>
          </rPr>
          <t xml:space="preserve">
This line item no longer appears in TSLA's reports
</t>
        </r>
      </text>
    </comment>
    <comment ref="C41" authorId="0" shapeId="0" xr:uid="{19BACCCE-7E26-4594-847E-10E1F1B3942F}">
      <text>
        <r>
          <rPr>
            <b/>
            <sz val="9"/>
            <color indexed="81"/>
            <rFont val="Tahoma"/>
            <family val="2"/>
          </rPr>
          <t>Kaizo:</t>
        </r>
        <r>
          <rPr>
            <sz val="9"/>
            <color indexed="81"/>
            <rFont val="Tahoma"/>
            <family val="2"/>
          </rPr>
          <t xml:space="preserve">
This line item no longer appears in TESLA's reports
</t>
        </r>
      </text>
    </comment>
    <comment ref="C42" authorId="0" shapeId="0" xr:uid="{C92E8799-8100-48EE-8687-37DDC6069249}">
      <text>
        <r>
          <rPr>
            <b/>
            <sz val="9"/>
            <color indexed="81"/>
            <rFont val="Tahoma"/>
            <family val="2"/>
          </rPr>
          <t>Kaizo:</t>
        </r>
        <r>
          <rPr>
            <sz val="9"/>
            <color indexed="81"/>
            <rFont val="Tahoma"/>
            <family val="2"/>
          </rPr>
          <t xml:space="preserve">
This line items disappears from reports in 2022/3
</t>
        </r>
      </text>
    </comment>
    <comment ref="C45" authorId="0" shapeId="0" xr:uid="{39DACF77-E3D9-4FD1-822A-D7AB7A8561FA}">
      <text>
        <r>
          <rPr>
            <b/>
            <sz val="9"/>
            <color indexed="81"/>
            <rFont val="Tahoma"/>
            <family val="2"/>
          </rPr>
          <t>Kaizo:</t>
        </r>
        <r>
          <rPr>
            <sz val="9"/>
            <color indexed="81"/>
            <rFont val="Tahoma"/>
            <family val="2"/>
          </rPr>
          <t xml:space="preserve">
This line item was titled "Proceeds from issuances of convertible and other debt" up to 2022 (cf. TSLA's 2022 10-K) </t>
        </r>
      </text>
    </comment>
    <comment ref="C46" authorId="0" shapeId="0" xr:uid="{7EEC426C-3B8D-4FF1-AED7-A6A35F21B4A8}">
      <text>
        <r>
          <rPr>
            <b/>
            <sz val="9"/>
            <color indexed="81"/>
            <rFont val="Tahoma"/>
            <family val="2"/>
          </rPr>
          <t>Kaizo:</t>
        </r>
        <r>
          <rPr>
            <sz val="9"/>
            <color indexed="81"/>
            <rFont val="Tahoma"/>
            <family val="2"/>
          </rPr>
          <t xml:space="preserve">
This line item disappeared from 10-K docs in 2022</t>
        </r>
      </text>
    </comment>
    <comment ref="C48" authorId="0" shapeId="0" xr:uid="{443E2194-EB5B-4A2B-BF32-5D90DC078266}">
      <text>
        <r>
          <rPr>
            <b/>
            <sz val="9"/>
            <color indexed="81"/>
            <rFont val="Tahoma"/>
            <family val="2"/>
          </rPr>
          <t>Kaizo:</t>
        </r>
        <r>
          <rPr>
            <sz val="9"/>
            <color indexed="81"/>
            <rFont val="Tahoma"/>
            <family val="2"/>
          </rPr>
          <t xml:space="preserve">
This line item appears for the first time in TSLA's 2025 10-K
</t>
        </r>
      </text>
    </comment>
    <comment ref="C49" authorId="0" shapeId="0" xr:uid="{9D617950-CBC6-4386-ACC2-B27441B4CAA2}">
      <text>
        <r>
          <rPr>
            <b/>
            <sz val="9"/>
            <color indexed="81"/>
            <rFont val="Tahoma"/>
            <family val="2"/>
          </rPr>
          <t>Kaizo:</t>
        </r>
        <r>
          <rPr>
            <sz val="9"/>
            <color indexed="81"/>
            <rFont val="Tahoma"/>
            <family val="2"/>
          </rPr>
          <t xml:space="preserve">
This line item appears for the first time in TSLA's 2025 10-K</t>
        </r>
      </text>
    </comment>
    <comment ref="C50" authorId="0" shapeId="0" xr:uid="{3C5569CE-755F-4A6C-A53E-D7EA94BF9103}">
      <text>
        <r>
          <rPr>
            <b/>
            <sz val="9"/>
            <color indexed="81"/>
            <rFont val="Tahoma"/>
            <family val="2"/>
          </rPr>
          <t>Kaizo:</t>
        </r>
        <r>
          <rPr>
            <sz val="9"/>
            <color indexed="81"/>
            <rFont val="Tahoma"/>
            <family val="2"/>
          </rPr>
          <t xml:space="preserve">
This line item was title "Repayments of convertible and other debt" until 2022 (cf. TSLA's 2022 10-K)
</t>
        </r>
      </text>
    </comment>
    <comment ref="C53" authorId="0" shapeId="0" xr:uid="{914663F0-F8C5-406F-B0A9-FFB182D3F5A3}">
      <text>
        <r>
          <rPr>
            <b/>
            <sz val="9"/>
            <color indexed="81"/>
            <rFont val="Tahoma"/>
            <family val="2"/>
          </rPr>
          <t>Kaizo:</t>
        </r>
        <r>
          <rPr>
            <sz val="9"/>
            <color indexed="81"/>
            <rFont val="Tahoma"/>
            <family val="2"/>
          </rPr>
          <t xml:space="preserve">
This line item is absent from all 10-K docs except in 2018
</t>
        </r>
      </text>
    </comment>
    <comment ref="C54" authorId="0" shapeId="0" xr:uid="{C7BB6CD5-9665-47A0-A1D1-D3931C808C99}">
      <text>
        <r>
          <rPr>
            <b/>
            <sz val="9"/>
            <color indexed="81"/>
            <rFont val="Tahoma"/>
            <family val="2"/>
          </rPr>
          <t>Kaizo:</t>
        </r>
        <r>
          <rPr>
            <sz val="9"/>
            <color indexed="81"/>
            <rFont val="Tahoma"/>
            <family val="2"/>
          </rPr>
          <t xml:space="preserve">
This line item has been removed from TSLA's 10-K docs since 2023.
</t>
        </r>
      </text>
    </comment>
    <comment ref="C55" authorId="0" shapeId="0" xr:uid="{23082C8A-C060-4799-B5D5-C85EB80011F8}">
      <text>
        <r>
          <rPr>
            <b/>
            <sz val="9"/>
            <color indexed="81"/>
            <rFont val="Tahoma"/>
            <family val="2"/>
          </rPr>
          <t>Kaizo:</t>
        </r>
        <r>
          <rPr>
            <sz val="9"/>
            <color indexed="81"/>
            <rFont val="Tahoma"/>
            <family val="2"/>
          </rPr>
          <t xml:space="preserve">
This line item has disappeared from TSLA's 10-K docs since 2022</t>
        </r>
      </text>
    </comment>
    <comment ref="C56" authorId="0" shapeId="0" xr:uid="{8747C3A9-A47F-4E23-AC05-3658C0C39915}">
      <text>
        <r>
          <rPr>
            <b/>
            <sz val="9"/>
            <color indexed="81"/>
            <rFont val="Tahoma"/>
            <family val="2"/>
          </rPr>
          <t>Kaizo:</t>
        </r>
        <r>
          <rPr>
            <sz val="9"/>
            <color indexed="81"/>
            <rFont val="Tahoma"/>
            <family val="2"/>
          </rPr>
          <t xml:space="preserve">
This line item has disappeared from TSLA's 10-K docs since 2022</t>
        </r>
      </text>
    </comment>
    <comment ref="C57" authorId="0" shapeId="0" xr:uid="{EA588B54-1D4F-41DA-B906-B4D824756A6F}">
      <text>
        <r>
          <rPr>
            <b/>
            <sz val="9"/>
            <color indexed="81"/>
            <rFont val="Tahoma"/>
            <family val="2"/>
          </rPr>
          <t>Kaizo:</t>
        </r>
        <r>
          <rPr>
            <sz val="9"/>
            <color indexed="81"/>
            <rFont val="Tahoma"/>
            <family val="2"/>
          </rPr>
          <t xml:space="preserve">
In this model, from 2018 to 2020, this line item is the difference between "Proceeds from investments by noncontrolling interests in subsidiaries" and "Distributions paid to noncontrolling interests in subsidiaries"</t>
        </r>
      </text>
    </comment>
    <comment ref="C60" authorId="0" shapeId="0" xr:uid="{79A0B945-661D-43F6-AF34-C400B50F133A}">
      <text>
        <r>
          <rPr>
            <b/>
            <sz val="9"/>
            <color indexed="81"/>
            <rFont val="Tahoma"/>
            <family val="2"/>
          </rPr>
          <t>Kaizo:</t>
        </r>
        <r>
          <rPr>
            <sz val="9"/>
            <color indexed="81"/>
            <rFont val="Tahoma"/>
            <family val="2"/>
          </rPr>
          <t xml:space="preserve">
I use the "Repeat the cycle" method of projection as this item depends heavily on FOREX  market fluctuations</t>
        </r>
      </text>
    </comment>
    <comment ref="C62" authorId="0" shapeId="0" xr:uid="{955C41AC-79B8-46ED-82FF-30B67B5FA962}">
      <text>
        <r>
          <rPr>
            <b/>
            <sz val="9"/>
            <color indexed="81"/>
            <rFont val="Tahoma"/>
            <family val="2"/>
          </rPr>
          <t>Kaizo:</t>
        </r>
        <r>
          <rPr>
            <sz val="9"/>
            <color indexed="81"/>
            <rFont val="Tahoma"/>
            <family val="2"/>
          </rPr>
          <t xml:space="preserve">
We assume here that the cash at the beginning of Year N is equal to the cash balance at the end of Year N-1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Kaizo</author>
  </authors>
  <commentList>
    <comment ref="C9" authorId="0" shapeId="0" xr:uid="{4CB1FE11-3B83-4424-97F8-DAA24527919C}">
      <text>
        <r>
          <rPr>
            <b/>
            <sz val="9"/>
            <color indexed="81"/>
            <rFont val="Tahoma"/>
            <family val="2"/>
          </rPr>
          <t>Kaizo:</t>
        </r>
        <r>
          <rPr>
            <sz val="9"/>
            <color indexed="81"/>
            <rFont val="Tahoma"/>
            <family val="2"/>
          </rPr>
          <t xml:space="preserve">
This line item has been included in TSLA's 10-K docs since 2021</t>
        </r>
      </text>
    </comment>
    <comment ref="C15" authorId="0" shapeId="0" xr:uid="{5BDE1ADD-7275-43E9-9917-B402F270AD51}">
      <text>
        <r>
          <rPr>
            <b/>
            <sz val="9"/>
            <color indexed="81"/>
            <rFont val="Tahoma"/>
            <family val="2"/>
          </rPr>
          <t>Kaizo:</t>
        </r>
        <r>
          <rPr>
            <sz val="9"/>
            <color indexed="81"/>
            <rFont val="Tahoma"/>
            <family val="2"/>
          </rPr>
          <t xml:space="preserve">
This line item was titled "Solar energy systems, net" up to 2024. It was changed to the current title in 2025</t>
        </r>
      </text>
    </comment>
    <comment ref="C20" authorId="0" shapeId="0" xr:uid="{A555C4E6-C50E-48C5-9A80-F3624B1E5DD5}">
      <text>
        <r>
          <rPr>
            <b/>
            <sz val="9"/>
            <color indexed="81"/>
            <rFont val="Tahoma"/>
            <family val="2"/>
          </rPr>
          <t>Kaizo:</t>
        </r>
        <r>
          <rPr>
            <sz val="9"/>
            <color indexed="81"/>
            <rFont val="Tahoma"/>
            <family val="2"/>
          </rPr>
          <t xml:space="preserve">
This line item is not included anymore in TSLA's 10-K since 2025. Intangible assets are now included in "Digital Assets" and "Other non-current assets" (source: TSLA's 2025 10-K, p.65)
</t>
        </r>
      </text>
    </comment>
    <comment ref="C21" authorId="0" shapeId="0" xr:uid="{FBE11661-1683-4FE2-9894-4DA622357CBF}">
      <text>
        <r>
          <rPr>
            <b/>
            <sz val="9"/>
            <color indexed="81"/>
            <rFont val="Tahoma"/>
            <family val="2"/>
          </rPr>
          <t>Kaizo:</t>
        </r>
        <r>
          <rPr>
            <sz val="9"/>
            <color indexed="81"/>
            <rFont val="Tahoma"/>
            <family val="2"/>
          </rPr>
          <t xml:space="preserve">
Since 2025, Goodwill is now included in "Other non-current assets" (source: 2025 10-K p.66) I have decided to keep this line item for the sake of precision</t>
        </r>
      </text>
    </comment>
    <comment ref="C31" authorId="0" shapeId="0" xr:uid="{9123719D-E8BD-4067-B27B-9337106DAEB7}">
      <text>
        <r>
          <rPr>
            <b/>
            <sz val="9"/>
            <color indexed="81"/>
            <rFont val="Tahoma"/>
            <family val="2"/>
          </rPr>
          <t>Kaizo:</t>
        </r>
        <r>
          <rPr>
            <sz val="9"/>
            <color indexed="81"/>
            <rFont val="Tahoma"/>
            <family val="2"/>
          </rPr>
          <t xml:space="preserve">
This line item has been included into the "Accrued liabilities and other" item since 2023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Kaizo</author>
  </authors>
  <commentList>
    <comment ref="C6" authorId="0" shapeId="0" xr:uid="{64A40B82-E4D1-4FAE-AB15-6F273FFC0EF9}">
      <text>
        <r>
          <rPr>
            <b/>
            <sz val="9"/>
            <color indexed="81"/>
            <rFont val="Tahoma"/>
            <family val="2"/>
          </rPr>
          <t>Kaizo:</t>
        </r>
        <r>
          <rPr>
            <sz val="9"/>
            <color indexed="81"/>
            <rFont val="Tahoma"/>
            <family val="2"/>
          </rPr>
          <t xml:space="preserve">
Kaizo:
We assume the property balance at the
end of 2025 is equal to the property balance at the beginning of 2026. It’s
that beginning 2026 property balance that will determine the depreciation expense that will be incurred during the year 2026.</t>
        </r>
      </text>
    </comment>
    <comment ref="C10" authorId="0" shapeId="0" xr:uid="{B39562F0-286D-48A7-A351-3DEDE05D32B8}">
      <text>
        <r>
          <rPr>
            <b/>
            <sz val="9"/>
            <color indexed="81"/>
            <rFont val="Tahoma"/>
            <family val="2"/>
          </rPr>
          <t>Kaizo:</t>
        </r>
        <r>
          <rPr>
            <sz val="9"/>
            <color indexed="81"/>
            <rFont val="Tahoma"/>
            <family val="2"/>
          </rPr>
          <t xml:space="preserve">
We are assuming the CAPEX will be built and completed in early 2021 and that there will be a
full year of depreciation by the end of that year.
See Pignataro p.130 onward</t>
        </r>
      </text>
    </comment>
    <comment ref="M15" authorId="0" shapeId="0" xr:uid="{46A41E61-58F8-4EA8-9C45-5CA9D61E0B62}">
      <text>
        <r>
          <rPr>
            <b/>
            <sz val="9"/>
            <color indexed="81"/>
            <rFont val="Tahoma"/>
            <family val="2"/>
          </rPr>
          <t>Kaizo:</t>
        </r>
        <r>
          <rPr>
            <sz val="9"/>
            <color indexed="81"/>
            <rFont val="Tahoma"/>
            <family val="2"/>
          </rPr>
          <t xml:space="preserve">
if our total depreciation is significantly low or high, we should first adjust the net PP&amp;E useful life assumption. 
The CAPEX useful life affects the rate at which depreciation increases, so if the total depreciation is increasing too fast or too slow in the future, we should adjust the CAPEX useful life.
</t>
        </r>
      </text>
    </comment>
    <comment ref="M17" authorId="0" shapeId="0" xr:uid="{43467D75-2788-40E0-9242-0946771989B3}">
      <text>
        <r>
          <rPr>
            <b/>
            <sz val="9"/>
            <color indexed="81"/>
            <rFont val="Tahoma"/>
            <family val="2"/>
          </rPr>
          <t>Kaizo:</t>
        </r>
        <r>
          <rPr>
            <sz val="9"/>
            <color indexed="81"/>
            <rFont val="Tahoma"/>
            <family val="2"/>
          </rPr>
          <t xml:space="preserve">
This is not the most accurate way to project depreciation. The most accurate way is to have detailed data on all assets purchased: the cost, date purchased, and useful life of each. Given that this data is very difficult to obtain, we need to focus on the larger trends.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Kaizo</author>
  </authors>
  <commentList>
    <comment ref="C11" authorId="0" shapeId="0" xr:uid="{8CF34AEB-B771-4AF5-BADB-0A9CC6E5EE54}">
      <text>
        <r>
          <rPr>
            <b/>
            <sz val="9"/>
            <color indexed="81"/>
            <rFont val="Tahoma"/>
            <family val="2"/>
          </rPr>
          <t>Kaizo:</t>
        </r>
        <r>
          <rPr>
            <sz val="9"/>
            <color indexed="81"/>
            <rFont val="Tahoma"/>
            <family val="2"/>
          </rPr>
          <t xml:space="preserve">
Check CFS WC section</t>
        </r>
      </text>
    </comment>
    <comment ref="C13" authorId="0" shapeId="0" xr:uid="{DD9E390F-9EC5-4271-9A50-B5C9D6B3EB03}">
      <text>
        <r>
          <rPr>
            <b/>
            <sz val="9"/>
            <color indexed="81"/>
            <rFont val="Tahoma"/>
            <family val="2"/>
          </rPr>
          <t>Kaizo:</t>
        </r>
        <r>
          <rPr>
            <sz val="9"/>
            <color indexed="81"/>
            <rFont val="Tahoma"/>
            <family val="2"/>
          </rPr>
          <t xml:space="preserve">
Other current assets do not scale with OpEx. For example, restricted cash may grow with lease securitisation volumes, not operating expenses.
As you refine your model, try to isolate any large non‑prepaid components (e.g., restricted cash, financing receivables) from the historical average.</t>
        </r>
      </text>
    </comment>
    <comment ref="C19" authorId="0" shapeId="0" xr:uid="{62024B79-C67E-4FFC-8287-517A2C2C2E35}">
      <text>
        <r>
          <rPr>
            <b/>
            <sz val="9"/>
            <color indexed="81"/>
            <rFont val="Tahoma"/>
            <family val="2"/>
          </rPr>
          <t>Kaizo:</t>
        </r>
        <r>
          <rPr>
            <sz val="9"/>
            <color indexed="81"/>
            <rFont val="Tahoma"/>
            <family val="2"/>
          </rPr>
          <t xml:space="preserve">
Customer deposits are driven by reservation volumes and new product launches, not by an income statement flow. They should be modelled separately. Thus, for now, I subtract them from "Accrued liabilities and other" because I will put this item against total OPEX. </t>
        </r>
      </text>
    </comment>
    <comment ref="C20" authorId="0" shapeId="0" xr:uid="{1233D87F-68AB-4CDF-A82D-2DA29EEF5087}">
      <text>
        <r>
          <rPr>
            <b/>
            <sz val="9"/>
            <color indexed="81"/>
            <rFont val="Tahoma"/>
            <family val="2"/>
          </rPr>
          <t>Kaizo:</t>
        </r>
        <r>
          <rPr>
            <sz val="9"/>
            <color indexed="81"/>
            <rFont val="Tahoma"/>
            <family val="2"/>
          </rPr>
          <t xml:space="preserve">
IMPORTANT: I use OPEX as the denominator for this item. However, Accrued liabilities have many different components that depend on items other than OPEX (such as COGS, Revenues, etc.).
Using OpEx will understate the impact of accrued purchases (which are tied to COGS) and warranty (tied to revenue).
Best to create a separate schedule later.
See TSLA's 2025 10-K p.72 for more details on the line item.</t>
        </r>
      </text>
    </comment>
    <comment ref="C23" authorId="0" shapeId="0" xr:uid="{16D7137F-C7DD-4AEF-B85F-4D64742C66FA}">
      <text>
        <r>
          <rPr>
            <b/>
            <sz val="9"/>
            <color indexed="81"/>
            <rFont val="Tahoma"/>
            <family val="2"/>
          </rPr>
          <t>Kaizo:</t>
        </r>
        <r>
          <rPr>
            <sz val="9"/>
            <color indexed="81"/>
            <rFont val="Tahoma"/>
            <family val="2"/>
          </rPr>
          <t xml:space="preserve">
This line item has been included into the "Accrued liabilities and other" item since 2023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Kaizo</author>
    <author>Paul Pignataro</author>
  </authors>
  <commentList>
    <comment ref="G9" authorId="0" shapeId="0" xr:uid="{9EBCA361-7722-4C44-BDC0-19FC314B4985}">
      <text>
        <r>
          <rPr>
            <b/>
            <sz val="9"/>
            <color indexed="81"/>
            <rFont val="Tahoma"/>
            <family val="2"/>
          </rPr>
          <t>Kaizo:</t>
        </r>
        <r>
          <rPr>
            <sz val="9"/>
            <color indexed="81"/>
            <rFont val="Tahoma"/>
            <family val="2"/>
          </rPr>
          <t xml:space="preserve">
Assumption based on Tesla's current casha nd short-term investment assets minus planned Capex for 2026.</t>
        </r>
      </text>
    </comment>
    <comment ref="C10" authorId="0" shapeId="0" xr:uid="{8DFDFB63-2906-415D-AEF7-5B4D3D3A5C6C}">
      <text>
        <r>
          <rPr>
            <b/>
            <sz val="9"/>
            <color indexed="81"/>
            <rFont val="Tahoma"/>
            <family val="2"/>
          </rPr>
          <t>Kaizo:</t>
        </r>
        <r>
          <rPr>
            <sz val="9"/>
            <color indexed="81"/>
            <rFont val="Tahoma"/>
            <family val="2"/>
          </rPr>
          <t xml:space="preserve">
The total cash available to pay down debt is the amount of cash that’s arguably free to utilize. Should a company decide to manage its business as such, it can conceivably utilize all those funds to pay down debts in order to save on interest payments. However, it is important to note that not all debts can be paid at will without penalty.</t>
        </r>
      </text>
    </comment>
    <comment ref="C12" authorId="0" shapeId="0" xr:uid="{149F43F0-611D-40E1-9623-EE20EB9FA9AB}">
      <text>
        <r>
          <rPr>
            <b/>
            <sz val="9"/>
            <color indexed="81"/>
            <rFont val="Tahoma"/>
            <family val="2"/>
          </rPr>
          <t>Kaizo:</t>
        </r>
        <r>
          <rPr>
            <sz val="9"/>
            <color indexed="81"/>
            <rFont val="Tahoma"/>
            <family val="2"/>
          </rPr>
          <t xml:space="preserve">
We assume this is the same value as the ending balance of debt from the year before.</t>
        </r>
      </text>
    </comment>
    <comment ref="G19" authorId="1" shapeId="0" xr:uid="{00000000-0006-0000-0500-000001000000}">
      <text>
        <r>
          <rPr>
            <sz val="9"/>
            <color indexed="81"/>
            <rFont val="Tahoma"/>
            <family val="2"/>
          </rPr>
          <t>Weighted average calculated as per p. 73 and p. 76 TESLA's 10-K 2025, using lower end of range.</t>
        </r>
      </text>
    </comment>
    <comment ref="G28" authorId="0" shapeId="0" xr:uid="{C48B946E-A40B-4CE7-A550-E326D0EA9EFF}">
      <text>
        <r>
          <rPr>
            <b/>
            <sz val="9"/>
            <color indexed="81"/>
            <rFont val="Tahoma"/>
            <family val="2"/>
          </rPr>
          <t>Kaizo:</t>
        </r>
        <r>
          <rPr>
            <sz val="9"/>
            <color indexed="81"/>
            <rFont val="Tahoma"/>
            <family val="2"/>
          </rPr>
          <t xml:space="preserve">
Weighted average calculated as per p. 73 of TESLA's 10-K 2025, using higher end of range.</t>
        </r>
      </text>
    </comment>
    <comment ref="G37" authorId="0" shapeId="0" xr:uid="{AFDBF26B-FC49-4F4D-8A6C-81A43DF32501}">
      <text>
        <r>
          <rPr>
            <b/>
            <sz val="9"/>
            <color indexed="81"/>
            <rFont val="Tahoma"/>
            <family val="2"/>
          </rPr>
          <t>Kaizo:</t>
        </r>
        <r>
          <rPr>
            <sz val="9"/>
            <color indexed="81"/>
            <rFont val="Tahoma"/>
            <family val="2"/>
          </rPr>
          <t xml:space="preserve">
Source: TESLA 2025 10k p. 76</t>
        </r>
      </text>
    </comment>
    <comment ref="G46" authorId="0" shapeId="0" xr:uid="{F7FA597B-292B-411B-BA6D-52D4868D8307}">
      <text>
        <r>
          <rPr>
            <b/>
            <sz val="9"/>
            <color indexed="81"/>
            <rFont val="Tahoma"/>
            <family val="2"/>
          </rPr>
          <t>Kaizo:</t>
        </r>
        <r>
          <rPr>
            <sz val="9"/>
            <color indexed="81"/>
            <rFont val="Tahoma"/>
            <family val="2"/>
          </rPr>
          <t xml:space="preserve">
Source: TESLA 2025 10k p. 76</t>
        </r>
      </text>
    </comment>
    <comment ref="C49" authorId="0" shapeId="0" xr:uid="{7BD7056B-1BC3-4241-AFDC-FABF722DB502}">
      <text>
        <r>
          <rPr>
            <b/>
            <sz val="9"/>
            <color indexed="81"/>
            <rFont val="Tahoma"/>
            <family val="2"/>
          </rPr>
          <t>Kaizo:</t>
        </r>
        <r>
          <rPr>
            <sz val="9"/>
            <color indexed="81"/>
            <rFont val="Tahoma"/>
            <family val="2"/>
          </rPr>
          <t xml:space="preserve">
we want to capture a complete measure of cash from the beginning of the period to the end of the period, including capturing cash payments or issuances from debt paydowns </t>
        </r>
      </text>
    </comment>
    <comment ref="G51" authorId="1" shapeId="0" xr:uid="{00000000-0006-0000-0500-000002000000}">
      <text>
        <r>
          <rPr>
            <b/>
            <sz val="9"/>
            <color indexed="81"/>
            <rFont val="Tahoma"/>
            <family val="2"/>
          </rPr>
          <t>Baseless assumption tbh. I chose this number by dividing 2025 interest income by the amount of short-term investments in 2026. No interest income rate appears in Tesla's 10k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Kaizo</author>
    <author>Paul Pignataro</author>
  </authors>
  <commentList>
    <comment ref="L22" authorId="0" shapeId="0" xr:uid="{98C92D2C-98C9-4F1C-99B6-E5B4B785DDCC}">
      <text>
        <r>
          <rPr>
            <b/>
            <sz val="9"/>
            <color indexed="81"/>
            <rFont val="Tahoma"/>
            <family val="2"/>
          </rPr>
          <t>Kaizo:</t>
        </r>
        <r>
          <rPr>
            <sz val="9"/>
            <color indexed="81"/>
            <rFont val="Tahoma"/>
            <family val="2"/>
          </rPr>
          <t xml:space="preserve">
Source: Damodaran’s website</t>
        </r>
      </text>
    </comment>
    <comment ref="O22" authorId="1" shapeId="0" xr:uid="{00000000-0006-0000-0700-000001000000}">
      <text>
        <r>
          <rPr>
            <b/>
            <sz val="9"/>
            <color indexed="81"/>
            <rFont val="Tahoma"/>
            <family val="2"/>
          </rPr>
          <t>As of 22/6/2026</t>
        </r>
      </text>
    </comment>
    <comment ref="F27" authorId="0" shapeId="0" xr:uid="{BECF77BC-E31A-4016-AE56-3DA338117093}">
      <text>
        <r>
          <rPr>
            <b/>
            <sz val="9"/>
            <color indexed="81"/>
            <rFont val="Tahoma"/>
            <family val="2"/>
          </rPr>
          <t>Kaizo:</t>
        </r>
        <r>
          <rPr>
            <sz val="9"/>
            <color indexed="81"/>
            <rFont val="Tahoma"/>
            <family val="2"/>
          </rPr>
          <t xml:space="preserve">
Base case, very basic assumption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Paul Pignataro</author>
  </authors>
  <commentList>
    <comment ref="D9" authorId="0" shapeId="0" xr:uid="{00000000-0006-0000-0F00-000001000000}">
      <text>
        <r>
          <rPr>
            <b/>
            <sz val="9"/>
            <color indexed="81"/>
            <rFont val="Tahoma"/>
            <family val="2"/>
          </rPr>
          <t>Paul Pignataro:</t>
        </r>
        <r>
          <rPr>
            <sz val="9"/>
            <color indexed="81"/>
            <rFont val="Tahoma"/>
            <family val="2"/>
          </rPr>
          <t xml:space="preserve">
Depreciation is again discussed in both the COGS and Operating Expenses.  I chose to remove them from COGS</t>
        </r>
      </text>
    </comment>
    <comment ref="E9" authorId="0" shapeId="0" xr:uid="{00000000-0006-0000-0F00-000002000000}">
      <text>
        <r>
          <rPr>
            <b/>
            <sz val="9"/>
            <color indexed="81"/>
            <rFont val="Tahoma"/>
            <family val="2"/>
          </rPr>
          <t>Paul Pignataro:</t>
        </r>
        <r>
          <rPr>
            <sz val="9"/>
            <color indexed="81"/>
            <rFont val="Tahoma"/>
            <family val="2"/>
          </rPr>
          <t xml:space="preserve">
Depreciation is again discussed in both the COGS and Operating Expenses.  I chose to remove them from COGS</t>
        </r>
      </text>
    </comment>
    <comment ref="F9" authorId="0" shapeId="0" xr:uid="{00000000-0006-0000-0F00-000003000000}">
      <text>
        <r>
          <rPr>
            <b/>
            <sz val="9"/>
            <color indexed="81"/>
            <rFont val="Tahoma"/>
            <family val="2"/>
          </rPr>
          <t>Paul Pignataro:</t>
        </r>
        <r>
          <rPr>
            <sz val="9"/>
            <color indexed="81"/>
            <rFont val="Tahoma"/>
            <family val="2"/>
          </rPr>
          <t xml:space="preserve">
Depreciation is again discussed in both the COGS and Operating Expenses.  I chose to remove them from COGS</t>
        </r>
      </text>
    </comment>
    <comment ref="D29" authorId="0" shapeId="0" xr:uid="{00000000-0006-0000-0F00-000004000000}">
      <text>
        <r>
          <rPr>
            <b/>
            <sz val="9"/>
            <color indexed="81"/>
            <rFont val="Tahoma"/>
            <family val="2"/>
          </rPr>
          <t>Paul Pignataro:</t>
        </r>
        <r>
          <rPr>
            <sz val="9"/>
            <color indexed="81"/>
            <rFont val="Tahoma"/>
            <family val="2"/>
          </rPr>
          <t xml:space="preserve">
Need to make tax adjustment</t>
        </r>
      </text>
    </comment>
    <comment ref="E29" authorId="0" shapeId="0" xr:uid="{00000000-0006-0000-0F00-000005000000}">
      <text>
        <r>
          <rPr>
            <b/>
            <sz val="9"/>
            <color indexed="81"/>
            <rFont val="Tahoma"/>
            <family val="2"/>
          </rPr>
          <t>Paul Pignataro:</t>
        </r>
        <r>
          <rPr>
            <sz val="9"/>
            <color indexed="81"/>
            <rFont val="Tahoma"/>
            <family val="2"/>
          </rPr>
          <t xml:space="preserve">
Need to make tax adjustment</t>
        </r>
      </text>
    </comment>
    <comment ref="F29" authorId="0" shapeId="0" xr:uid="{00000000-0006-0000-0F00-000006000000}">
      <text>
        <r>
          <rPr>
            <b/>
            <sz val="9"/>
            <color indexed="81"/>
            <rFont val="Tahoma"/>
            <family val="2"/>
          </rPr>
          <t>Paul Pignataro:</t>
        </r>
        <r>
          <rPr>
            <sz val="9"/>
            <color indexed="81"/>
            <rFont val="Tahoma"/>
            <family val="2"/>
          </rPr>
          <t xml:space="preserve">
Need to make tax adjustment</t>
        </r>
      </text>
    </comment>
    <comment ref="D49" authorId="0" shapeId="0" xr:uid="{00000000-0006-0000-0F00-000007000000}">
      <text>
        <r>
          <rPr>
            <b/>
            <sz val="9"/>
            <color indexed="81"/>
            <rFont val="Tahoma"/>
            <family val="2"/>
          </rPr>
          <t>Paul Pignataro:</t>
        </r>
        <r>
          <rPr>
            <sz val="9"/>
            <color indexed="81"/>
            <rFont val="Tahoma"/>
            <family val="2"/>
          </rPr>
          <t xml:space="preserve">
Share price as of 7/1/2021</t>
        </r>
      </text>
    </comment>
    <comment ref="D50" authorId="0" shapeId="0" xr:uid="{00000000-0006-0000-0F00-000008000000}">
      <text>
        <r>
          <rPr>
            <b/>
            <sz val="9"/>
            <color indexed="81"/>
            <rFont val="Tahoma"/>
            <family val="2"/>
          </rPr>
          <t>Paul Pignataro:</t>
        </r>
        <r>
          <rPr>
            <sz val="9"/>
            <color indexed="81"/>
            <rFont val="Tahoma"/>
            <family val="2"/>
          </rPr>
          <t xml:space="preserve">
From cover of 10Q</t>
        </r>
      </text>
    </comment>
    <comment ref="D51" authorId="0" shapeId="0" xr:uid="{00000000-0006-0000-0F00-000009000000}">
      <text>
        <r>
          <rPr>
            <b/>
            <sz val="9"/>
            <color indexed="81"/>
            <rFont val="Tahoma"/>
            <family val="2"/>
          </rPr>
          <t>Paul Pignataro:</t>
        </r>
        <r>
          <rPr>
            <sz val="9"/>
            <color indexed="81"/>
            <rFont val="Tahoma"/>
            <family val="2"/>
          </rPr>
          <t xml:space="preserve">
From Note 11 of 10Q</t>
        </r>
      </text>
    </comment>
    <comment ref="D52" authorId="0" shapeId="0" xr:uid="{00000000-0006-0000-0F00-00000A000000}">
      <text>
        <r>
          <rPr>
            <b/>
            <sz val="9"/>
            <color indexed="81"/>
            <rFont val="Tahoma"/>
            <family val="2"/>
          </rPr>
          <t>Paul Pignataro:</t>
        </r>
        <r>
          <rPr>
            <sz val="9"/>
            <color indexed="81"/>
            <rFont val="Tahoma"/>
            <family val="2"/>
          </rPr>
          <t xml:space="preserve">
10Q is only showing in the money shares, not showing share price, so assuming all are in the money at this point</t>
        </r>
      </text>
    </comment>
  </commentList>
</comments>
</file>

<file path=xl/sharedStrings.xml><?xml version="1.0" encoding="utf-8"?>
<sst xmlns="http://schemas.openxmlformats.org/spreadsheetml/2006/main" count="500" uniqueCount="367">
  <si>
    <t>EBIT</t>
  </si>
  <si>
    <t>EBITDA</t>
  </si>
  <si>
    <t>Depreciation</t>
  </si>
  <si>
    <t>Basic</t>
  </si>
  <si>
    <t>Diluted</t>
  </si>
  <si>
    <t>Assets</t>
  </si>
  <si>
    <t>Goodwill</t>
  </si>
  <si>
    <t>Liabilities</t>
  </si>
  <si>
    <t>Balance? (Y/N)</t>
  </si>
  <si>
    <t>Years</t>
  </si>
  <si>
    <t>Debt Schedule</t>
  </si>
  <si>
    <t>Existing PP&amp;E</t>
  </si>
  <si>
    <t>Match? (Y/N)</t>
  </si>
  <si>
    <t>Consolidated Statements of Cash Flows</t>
  </si>
  <si>
    <t>Consolidated Income Statements</t>
  </si>
  <si>
    <t>Consolidated Balance Sheets</t>
  </si>
  <si>
    <t>Operating Working Capital Schedule (OWC)</t>
  </si>
  <si>
    <t>Period Ending December 31</t>
  </si>
  <si>
    <t>On December 31</t>
  </si>
  <si>
    <t>SUPPLEMENTAL DATA:</t>
  </si>
  <si>
    <t>Cash flows from operating activities</t>
  </si>
  <si>
    <t>Cash flows from investing activities</t>
  </si>
  <si>
    <t>Cash flows from financing activities</t>
  </si>
  <si>
    <t>Changes in inventory</t>
  </si>
  <si>
    <t>Cash and cash equivalents</t>
  </si>
  <si>
    <t>Accounts payable</t>
  </si>
  <si>
    <t>Other long-term liabilities</t>
  </si>
  <si>
    <t>Preferred stock</t>
  </si>
  <si>
    <t>Total current assets</t>
  </si>
  <si>
    <t>Total current liabilities</t>
  </si>
  <si>
    <t>Accumulated other comprehensive income (loss)</t>
  </si>
  <si>
    <t>Actuals</t>
  </si>
  <si>
    <t>Estimates</t>
  </si>
  <si>
    <t>Short-term debt</t>
  </si>
  <si>
    <t>Revenue</t>
  </si>
  <si>
    <t>Cost of goods sold</t>
  </si>
  <si>
    <t>Gross profit margin (%)</t>
  </si>
  <si>
    <t>EBITDA margin (%)</t>
  </si>
  <si>
    <t>Depreciation and amortization</t>
  </si>
  <si>
    <t>EBIT margin (%)</t>
  </si>
  <si>
    <t>Interest expense</t>
  </si>
  <si>
    <t>Interest income</t>
  </si>
  <si>
    <t>Operating expenses</t>
  </si>
  <si>
    <t>Total operating expenses</t>
  </si>
  <si>
    <t>Other income</t>
  </si>
  <si>
    <t>All-in effective tax rate (%)</t>
  </si>
  <si>
    <t>Income tax expense</t>
  </si>
  <si>
    <t>Non-recurring events</t>
  </si>
  <si>
    <t>Discontinued operations</t>
  </si>
  <si>
    <t>Extraordinary items</t>
  </si>
  <si>
    <t>Effect of accounting changes</t>
  </si>
  <si>
    <t>Other items</t>
  </si>
  <si>
    <t>Net income</t>
  </si>
  <si>
    <t>Earnings per share (EPS)</t>
  </si>
  <si>
    <t xml:space="preserve">Average common shares outstanding </t>
  </si>
  <si>
    <t>Gross profit</t>
  </si>
  <si>
    <t>Cash flow before debt paydown</t>
  </si>
  <si>
    <t>Current assets:</t>
  </si>
  <si>
    <t>Total assets</t>
  </si>
  <si>
    <t>Current liabilities:</t>
  </si>
  <si>
    <t>Total liabilities</t>
  </si>
  <si>
    <t xml:space="preserve">Stockholders' equity </t>
  </si>
  <si>
    <t>Total stockholder equity</t>
  </si>
  <si>
    <t>Total liabilities &amp; stockholders' equity</t>
  </si>
  <si>
    <t>Straight line depreciation</t>
  </si>
  <si>
    <t>Total book depreciation</t>
  </si>
  <si>
    <t>Current assets</t>
  </si>
  <si>
    <t>Days receivable</t>
  </si>
  <si>
    <t>Inventory turnover days</t>
  </si>
  <si>
    <t>Current liabilities</t>
  </si>
  <si>
    <t>Days payable</t>
  </si>
  <si>
    <t>Cash at beginning of year</t>
  </si>
  <si>
    <t>Total cash available to pay down debt</t>
  </si>
  <si>
    <t>Short term debt (beginning of year)</t>
  </si>
  <si>
    <t>Long term interest expense</t>
  </si>
  <si>
    <t>Net interest expense</t>
  </si>
  <si>
    <t>Interest</t>
  </si>
  <si>
    <t>Total non-recurring events</t>
  </si>
  <si>
    <t>Dividends paid on common stock</t>
  </si>
  <si>
    <t>Net changes in working capital</t>
  </si>
  <si>
    <t>Total operating working capital</t>
  </si>
  <si>
    <t>Change in total operating working capital</t>
  </si>
  <si>
    <t>Cash available to pay down debt</t>
  </si>
  <si>
    <t>Cash at the end of the year</t>
  </si>
  <si>
    <t>Total interest expense</t>
  </si>
  <si>
    <t>Total issuances / (retirements)</t>
  </si>
  <si>
    <t>Long term interest rate</t>
  </si>
  <si>
    <t>Interest rate</t>
  </si>
  <si>
    <t>Capital expenditures as of Jan 1 of each year</t>
  </si>
  <si>
    <t>Minimum cash cushion</t>
  </si>
  <si>
    <t>Common stock par value + additional paid-in-capital</t>
  </si>
  <si>
    <t>Y/Y growth (%)</t>
  </si>
  <si>
    <t>(in US$ millions except per share amounts)</t>
  </si>
  <si>
    <t>Stock-based compensation</t>
  </si>
  <si>
    <t>CAPEX</t>
  </si>
  <si>
    <t>Depreciation ($)</t>
  </si>
  <si>
    <t>Earnings before tax (EBT)</t>
  </si>
  <si>
    <t>EBT margin (%)</t>
  </si>
  <si>
    <t>Net income from continuing operations</t>
  </si>
  <si>
    <t>COGS as a % of net sales</t>
  </si>
  <si>
    <t>Total cash from operating activities</t>
  </si>
  <si>
    <t>Total cash from investing activities</t>
  </si>
  <si>
    <t>Inventories</t>
  </si>
  <si>
    <t>Accounts receivable, net and other</t>
  </si>
  <si>
    <t>Discounted Cash Flow Analysis</t>
  </si>
  <si>
    <t>Period Ending January 31</t>
  </si>
  <si>
    <t>Unlevered Free Cash Flow</t>
  </si>
  <si>
    <t>Depreciation &amp; Amortization</t>
  </si>
  <si>
    <t>Deferred Taxes</t>
  </si>
  <si>
    <t>Other</t>
  </si>
  <si>
    <t>Changes in Working Capital</t>
  </si>
  <si>
    <t>Capital Expenditures</t>
  </si>
  <si>
    <t>Taxes</t>
  </si>
  <si>
    <t>Total Unlevered Free Cash Flow</t>
  </si>
  <si>
    <t>Net Present Value Calulation</t>
  </si>
  <si>
    <t>Period</t>
  </si>
  <si>
    <t>Discounted Cash Flow</t>
  </si>
  <si>
    <t>Total Net Present Value</t>
  </si>
  <si>
    <t>Terminal Value</t>
  </si>
  <si>
    <t>EBITDA Method</t>
  </si>
  <si>
    <t>Cost of Capital</t>
  </si>
  <si>
    <t>Exit Year EBITDA</t>
  </si>
  <si>
    <t xml:space="preserve">Risk Free Rate </t>
  </si>
  <si>
    <t>Multiple</t>
  </si>
  <si>
    <t xml:space="preserve">Market Risk Premium </t>
  </si>
  <si>
    <t xml:space="preserve">Stock Price </t>
  </si>
  <si>
    <t xml:space="preserve">Beta </t>
  </si>
  <si>
    <t>Shares Outstanding</t>
  </si>
  <si>
    <t>Net Present Value</t>
  </si>
  <si>
    <t xml:space="preserve">Cost of Equity </t>
  </si>
  <si>
    <t>Equity Value</t>
  </si>
  <si>
    <t>Perpetuity Method</t>
  </si>
  <si>
    <t xml:space="preserve">Cost of Debt </t>
  </si>
  <si>
    <t>Growth Rate</t>
  </si>
  <si>
    <t>WACC</t>
  </si>
  <si>
    <t xml:space="preserve">Discounted Cash Flow Total Valuation </t>
  </si>
  <si>
    <t xml:space="preserve">EBITDA Method </t>
  </si>
  <si>
    <t>Total of Present Value of Cash Flows</t>
  </si>
  <si>
    <t>Present Value of Terminal Value</t>
  </si>
  <si>
    <t>Total Enterprise Value</t>
  </si>
  <si>
    <t>Net Debt, Non-controlling interests, preferred securities</t>
  </si>
  <si>
    <t>Share Count (millions)</t>
  </si>
  <si>
    <t>Estimated Equity Value per Share</t>
  </si>
  <si>
    <t>Comparable Companies Analysis</t>
  </si>
  <si>
    <t>Current Stock Price$</t>
  </si>
  <si>
    <t>Market Capitalization (Value)$</t>
  </si>
  <si>
    <t>Enterprise</t>
  </si>
  <si>
    <t>Price / Earnings</t>
  </si>
  <si>
    <t>E.V. / Revenue</t>
  </si>
  <si>
    <t>E.V. / EBIT</t>
  </si>
  <si>
    <t>E.V. / EBITDA</t>
  </si>
  <si>
    <t>Value</t>
  </si>
  <si>
    <t>Company</t>
  </si>
  <si>
    <t>$MM</t>
  </si>
  <si>
    <t>x</t>
  </si>
  <si>
    <t>Target</t>
  </si>
  <si>
    <t>Median</t>
  </si>
  <si>
    <t>High</t>
  </si>
  <si>
    <t>Low</t>
  </si>
  <si>
    <t>Operating Statistics</t>
  </si>
  <si>
    <t>Sales</t>
  </si>
  <si>
    <t>EPS</t>
  </si>
  <si>
    <t>LTM</t>
  </si>
  <si>
    <t>$/share</t>
  </si>
  <si>
    <t>Walmart</t>
  </si>
  <si>
    <t>Y/Y revenue growth (%)</t>
  </si>
  <si>
    <t>COGS as a % of revenue</t>
  </si>
  <si>
    <t>D&amp;A % of Revenue</t>
  </si>
  <si>
    <t>IBT margin (%)</t>
  </si>
  <si>
    <t>Effective tax rate (%)</t>
  </si>
  <si>
    <t>Net income (as reported)</t>
  </si>
  <si>
    <t>Earnings per share (As reported)</t>
  </si>
  <si>
    <t>Earnings per share (adjusted)</t>
  </si>
  <si>
    <t>Enterprise Value</t>
  </si>
  <si>
    <t>Market value</t>
  </si>
  <si>
    <t>Long-term debt (includes current portions)</t>
  </si>
  <si>
    <t>Capital lease obligations</t>
  </si>
  <si>
    <t>Convertible debt</t>
  </si>
  <si>
    <t>Preferred securities</t>
  </si>
  <si>
    <t xml:space="preserve">  Less: Cash &amp; equivalents</t>
  </si>
  <si>
    <t>Enterprise value</t>
  </si>
  <si>
    <t>Amazon</t>
  </si>
  <si>
    <t>Q1 2020A</t>
  </si>
  <si>
    <t>Q1 2021A</t>
  </si>
  <si>
    <t>LTM 2021</t>
  </si>
  <si>
    <t>OpEx as a % of revenue</t>
  </si>
  <si>
    <t>Noncontrolling interest</t>
  </si>
  <si>
    <t>Foreign currency exchange (gain) loss, net</t>
  </si>
  <si>
    <t>(Gain) loss on debt securities, net</t>
  </si>
  <si>
    <t>(Gain) loss on equity securities</t>
  </si>
  <si>
    <t>Performance fees</t>
  </si>
  <si>
    <t>Income and impairment from equity method investments, net</t>
  </si>
  <si>
    <t>Google Income Statement</t>
  </si>
  <si>
    <t>NM</t>
  </si>
  <si>
    <t>Best Buy</t>
  </si>
  <si>
    <t>Ebay</t>
  </si>
  <si>
    <t>Etsy</t>
  </si>
  <si>
    <t>Google</t>
  </si>
  <si>
    <t>IBM</t>
  </si>
  <si>
    <t>Target Diluted Shares</t>
  </si>
  <si>
    <t>Share Price</t>
  </si>
  <si>
    <t>Number of basic shares outstanding</t>
  </si>
  <si>
    <t>Number of outstanding options (in the money)</t>
  </si>
  <si>
    <t>Average option strike price</t>
  </si>
  <si>
    <t>Total option proceeds</t>
  </si>
  <si>
    <t>Treasury stock method shares repurchased</t>
  </si>
  <si>
    <t>Additional shares outstanding</t>
  </si>
  <si>
    <t>Total diluted shares outstanding</t>
  </si>
  <si>
    <t>20A</t>
  </si>
  <si>
    <t>21E</t>
  </si>
  <si>
    <t>Netflix</t>
  </si>
  <si>
    <t>(in US$ millions)</t>
  </si>
  <si>
    <t>Group 1: Retail / E-Commerce</t>
  </si>
  <si>
    <t>Group 2: Subscription / Web Services</t>
  </si>
  <si>
    <t>Automotive Sales</t>
  </si>
  <si>
    <t>Automotive Leasings</t>
  </si>
  <si>
    <t>Energy Generation and Storage</t>
  </si>
  <si>
    <t>Services and Other</t>
  </si>
  <si>
    <t>Total Automotive Revenues</t>
  </si>
  <si>
    <t>Total Revenues</t>
  </si>
  <si>
    <t>Energy generation and storage</t>
  </si>
  <si>
    <t>Research and Development</t>
  </si>
  <si>
    <t>Restructuring and other</t>
  </si>
  <si>
    <t>Restructuring and other expense as a % of Total Rev</t>
  </si>
  <si>
    <t>R&amp;D as a % of Total Rev</t>
  </si>
  <si>
    <t>Less: Buy-outs of noncontrolling interest</t>
  </si>
  <si>
    <t>Net income (after non-recurring events) attributable to common stockholders</t>
  </si>
  <si>
    <t>Net income/loss used in computing EPS of common stock</t>
  </si>
  <si>
    <t>Amortization of debt discounts and issuance costs</t>
  </si>
  <si>
    <t>Inventory and Purchase commitment write-downs</t>
  </si>
  <si>
    <t>Loss on disposal of fixed assets</t>
  </si>
  <si>
    <t>Operating cash flow related to repayment of discounted convertible senior notes</t>
  </si>
  <si>
    <t>Changes in operating assets and liabilities (working capital), net of effect of…</t>
  </si>
  <si>
    <t>Operating lease vehicles</t>
  </si>
  <si>
    <t>Deferred revenue</t>
  </si>
  <si>
    <t>Prepaid expense and other current assets</t>
  </si>
  <si>
    <t>Other non-current assets</t>
  </si>
  <si>
    <t>Changes in account receivable</t>
  </si>
  <si>
    <t>Customer deposits</t>
  </si>
  <si>
    <t>Non-cash interest and other operating activities</t>
  </si>
  <si>
    <t>Purchases of solar energy systems, net of sales</t>
  </si>
  <si>
    <t>Receipt of Government grants</t>
  </si>
  <si>
    <t>Purchases of nontangible assets</t>
  </si>
  <si>
    <t>Business combinations, net of cash acquired</t>
  </si>
  <si>
    <t>Payments for buy-outs of noncontrolling interests in subsidiaries</t>
  </si>
  <si>
    <t xml:space="preserve">Proceeds from issuances of common stock in public offerings, net of issuance costs </t>
  </si>
  <si>
    <t xml:space="preserve">Repayments of borrowings issued to related parties </t>
  </si>
  <si>
    <t xml:space="preserve">Collateralized lease repayments </t>
  </si>
  <si>
    <t xml:space="preserve">Proceeds from exercises of stock options and other stock issuances </t>
  </si>
  <si>
    <t xml:space="preserve">Principal payments on finance leases </t>
  </si>
  <si>
    <t xml:space="preserve">Debt issuance costs </t>
  </si>
  <si>
    <t xml:space="preserve">Purchase of convertible note hedges </t>
  </si>
  <si>
    <t xml:space="preserve">Proceeds from issuance of warrants </t>
  </si>
  <si>
    <t>Proceeds from investments by noncontrolling interests in subsidiaries (Distributions)</t>
  </si>
  <si>
    <t>Effect of exchange rate changes on cash and cash equivalents and restricted cash</t>
  </si>
  <si>
    <t xml:space="preserve">Cash and cash equivalents and restricted cash, beginning of period </t>
  </si>
  <si>
    <t>Supplemental Non-Cash Investing and Financing Activities</t>
  </si>
  <si>
    <t>% of Total Operating Expenses</t>
  </si>
  <si>
    <t>When no guidance, You can project CAPEX as a percentage of sales</t>
  </si>
  <si>
    <t>TOTAL CAPEX</t>
  </si>
  <si>
    <t>Prepaid expenses and other current assets</t>
  </si>
  <si>
    <t>Property, plants and equipment, net</t>
  </si>
  <si>
    <t>Operating leases right-of-use assets</t>
  </si>
  <si>
    <t>Intangible assets, net</t>
  </si>
  <si>
    <t>Accrued liabilities and other</t>
  </si>
  <si>
    <t>Current portion of debt and finance leases</t>
  </si>
  <si>
    <t>Debt and finance leases, net of current portion</t>
  </si>
  <si>
    <t xml:space="preserve">Accounts receivable, net </t>
  </si>
  <si>
    <t>Operating leases vehicles, net</t>
  </si>
  <si>
    <t>Noncontrolling interests in subsidiaries</t>
  </si>
  <si>
    <t>Redeemable noncontrolling interests in subsidiaries</t>
  </si>
  <si>
    <t>Convertible senior notes</t>
  </si>
  <si>
    <t>Operatin lease vehicles</t>
  </si>
  <si>
    <t>Lease vehicles days</t>
  </si>
  <si>
    <t>Prepaid expense days</t>
  </si>
  <si>
    <t>Accrued days</t>
  </si>
  <si>
    <t>Deferred revenue days</t>
  </si>
  <si>
    <t>Customer deposits days</t>
  </si>
  <si>
    <t xml:space="preserve"> </t>
  </si>
  <si>
    <t xml:space="preserve">Deferred revenue, net of current portion </t>
  </si>
  <si>
    <t>2027E</t>
  </si>
  <si>
    <t>2026E</t>
  </si>
  <si>
    <t>2028E</t>
  </si>
  <si>
    <t>2029E</t>
  </si>
  <si>
    <t>2030E</t>
  </si>
  <si>
    <t>2031E</t>
  </si>
  <si>
    <t>Automotive Regulatory Credits</t>
  </si>
  <si>
    <t>Cost of revenues (goods sold)</t>
  </si>
  <si>
    <t>Total automotive cost of revenues (goods sold)</t>
  </si>
  <si>
    <t>Automotive Leasing</t>
  </si>
  <si>
    <t>Services and other</t>
  </si>
  <si>
    <t>COGS Growth (Decline) % Y/Y</t>
  </si>
  <si>
    <t>Total Cost of goods sold (minus Depreciation)*</t>
  </si>
  <si>
    <t>Selling, general and administrative</t>
  </si>
  <si>
    <t>Selling, general and administrative as a % of Total Rev</t>
  </si>
  <si>
    <t>R&amp;D Growth (Decline) % Y/Y</t>
  </si>
  <si>
    <t>SG&amp;A Growth (Decline) % Y/Y</t>
  </si>
  <si>
    <t>EBITDA*</t>
  </si>
  <si>
    <t>Other (income) expense*</t>
  </si>
  <si>
    <t>Net (income) loss attributable to noncontrolling interests and redeemable noncontrolling interests in subsidiaries</t>
  </si>
  <si>
    <t>Y/Y Total Rev Growth (Decline) (%)</t>
  </si>
  <si>
    <t>Try to project  the individual line items later. See Pignataro p.36 for clues.</t>
  </si>
  <si>
    <t>Try to project  the individual line items later. See Pignataro p.42 for clues.</t>
  </si>
  <si>
    <t>Foreign currency transaction net unrealized loss (gain)</t>
  </si>
  <si>
    <t>Deferred income taxes</t>
  </si>
  <si>
    <t>Digital asset loss (gain), net</t>
  </si>
  <si>
    <t>Changes in accounts payable, accrued and other liabilities</t>
  </si>
  <si>
    <t>READ NOTE</t>
  </si>
  <si>
    <t xml:space="preserve">READ NOTE </t>
  </si>
  <si>
    <t>Purchases of property and equimpent excluding finance lease, net of sales</t>
  </si>
  <si>
    <t>Purchase of investments</t>
  </si>
  <si>
    <t>Proceeds from maturities of investments</t>
  </si>
  <si>
    <t>Proceeds from sales of investments</t>
  </si>
  <si>
    <t xml:space="preserve">Repayments of  debt </t>
  </si>
  <si>
    <t xml:space="preserve">Proceeds from issuances of debt </t>
  </si>
  <si>
    <t>Proceeds received from directors in shareholder settlement</t>
  </si>
  <si>
    <t>Payment of legal fees associated with shareholder settlement</t>
  </si>
  <si>
    <t>Total Net cash from financing activities</t>
  </si>
  <si>
    <t>Net increase (decrease) in cash and cash equivalents and restricted cash</t>
  </si>
  <si>
    <t>Total Cash and cash equivalents and restricted cash, end of period</t>
  </si>
  <si>
    <t>Acquisitions of property and equipment included in liabilities</t>
  </si>
  <si>
    <t>Supplemental Disclosures</t>
  </si>
  <si>
    <t>Cash paid during the period for interest</t>
  </si>
  <si>
    <t>% of Total Revenues</t>
  </si>
  <si>
    <t>CAPEX as % of Total Revenues</t>
  </si>
  <si>
    <t>Short-term investments</t>
  </si>
  <si>
    <t>Energy generation and storage systems (net)</t>
  </si>
  <si>
    <t>Digital assets</t>
  </si>
  <si>
    <t>Deferred tax assets</t>
  </si>
  <si>
    <t>Commitments and contingencies (Note 15)</t>
  </si>
  <si>
    <t>Retained earnings (Accumulated deficit)</t>
  </si>
  <si>
    <t>Operating lease vehicles on Jan 1 2026</t>
  </si>
  <si>
    <t>Energy generation and storage systems</t>
  </si>
  <si>
    <t>Intangible assets as of Jan 1 2026</t>
  </si>
  <si>
    <t>Intangible assets</t>
  </si>
  <si>
    <t>We assume residual values are equal to zero.</t>
  </si>
  <si>
    <t>Energy generation and storage systems on Jan 1 2026</t>
  </si>
  <si>
    <t>All the numbers for the useful lives are assumptions meant to be revisited later.</t>
  </si>
  <si>
    <t>D&amp;A Growth (Decline) % Y/Y</t>
  </si>
  <si>
    <t>IMPORTANT NOTE</t>
  </si>
  <si>
    <t>IMPORTANT NOTE 2</t>
  </si>
  <si>
    <t>Prepaid expense and other assets</t>
  </si>
  <si>
    <t>Accounts payable, accrued and other liabilities</t>
  </si>
  <si>
    <t>&lt; revise this line</t>
  </si>
  <si>
    <t>Current portion of debt and finance leases / revolver</t>
  </si>
  <si>
    <t>Current portion of debt and finance leases (end of year)</t>
  </si>
  <si>
    <t>Current portion of debt and finance leases interest expense</t>
  </si>
  <si>
    <t>Current portion interest rate</t>
  </si>
  <si>
    <t>Mandatory issuances</t>
  </si>
  <si>
    <t xml:space="preserve">Mandatory (retirements) </t>
  </si>
  <si>
    <t>Non-mandatory issuances</t>
  </si>
  <si>
    <t>Non-mandatory (retirements)</t>
  </si>
  <si>
    <t>Debt, net of current portion</t>
  </si>
  <si>
    <t>Long term debt  (beginning of year)</t>
  </si>
  <si>
    <t>Long-term debt  (end of year)</t>
  </si>
  <si>
    <t>Short term finance leases</t>
  </si>
  <si>
    <t>Short term finance leases (beginning of year)</t>
  </si>
  <si>
    <t>Short term leases (end of year)</t>
  </si>
  <si>
    <t>Short term leases interest expense</t>
  </si>
  <si>
    <t>Short term leases interest rate</t>
  </si>
  <si>
    <t>Long term finance leases</t>
  </si>
  <si>
    <t>Long term finance leases (beginning of year)</t>
  </si>
  <si>
    <t>Long term leases (end of year)</t>
  </si>
  <si>
    <t>Long term leases interest expense</t>
  </si>
  <si>
    <t>Long term leases interest rate</t>
  </si>
  <si>
    <t>deferred</t>
  </si>
  <si>
    <t>Debt YE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</si>
</sst>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quot;$&quot;#,##0.00_);\(&quot;$&quot;#,##0.00\)"/>
    <numFmt numFmtId="165" formatCode="#,##0.0_);[Red]\(#,##0.0\)"/>
    <numFmt numFmtId="166" formatCode="[$-409]mmm\-yy;@"/>
    <numFmt numFmtId="167" formatCode="#,##0.0_);\(#,##0.0\)"/>
    <numFmt numFmtId="168" formatCode="#,##0.0000_);[Red]\(#,##0.0000\)"/>
    <numFmt numFmtId="169" formatCode="#,##0.0"/>
    <numFmt numFmtId="170" formatCode="#,##0.0;[Red]#,##0.0"/>
    <numFmt numFmtId="171" formatCode="0.0"/>
    <numFmt numFmtId="172" formatCode="0.0%"/>
    <numFmt numFmtId="173" formatCode="&quot;$&quot;#,##0.00"/>
    <numFmt numFmtId="174" formatCode="[$-409]d\-mmm\-yy;@"/>
    <numFmt numFmtId="175" formatCode="General\A"/>
    <numFmt numFmtId="176" formatCode="General\E"/>
    <numFmt numFmtId="177" formatCode="0.0\x"/>
    <numFmt numFmtId="178" formatCode="#,##0.00_);\(#,##0.00\);#,##0.00_);@_)"/>
    <numFmt numFmtId="179" formatCode="0.0%_);\(0.0%\)"/>
    <numFmt numFmtId="180" formatCode="&quot;$&quot;#,##0.0_);\(&quot;$&quot;#,##0.0\)"/>
  </numFmts>
  <fonts count="27" x14ac:knownFonts="1">
    <font>
      <sz val="10"/>
      <name val="Arial"/>
    </font>
    <font>
      <sz val="8"/>
      <name val="Arial"/>
      <family val="2"/>
    </font>
    <font>
      <b/>
      <sz val="9"/>
      <name val="Arial"/>
      <family val="2"/>
    </font>
    <font>
      <sz val="9"/>
      <name val="Arial"/>
      <family val="2"/>
    </font>
    <font>
      <i/>
      <sz val="9"/>
      <name val="Arial"/>
      <family val="2"/>
    </font>
    <font>
      <b/>
      <sz val="9"/>
      <color indexed="12"/>
      <name val="Arial"/>
      <family val="2"/>
    </font>
    <font>
      <sz val="9"/>
      <color indexed="12"/>
      <name val="Arial"/>
      <family val="2"/>
    </font>
    <font>
      <i/>
      <sz val="9"/>
      <color indexed="12"/>
      <name val="Arial"/>
      <family val="2"/>
    </font>
    <font>
      <b/>
      <sz val="9"/>
      <color indexed="10"/>
      <name val="Arial"/>
      <family val="2"/>
    </font>
    <font>
      <sz val="10"/>
      <name val="Arial"/>
      <family val="2"/>
    </font>
    <font>
      <i/>
      <sz val="9"/>
      <color indexed="12"/>
      <name val="Arial"/>
      <family val="2"/>
    </font>
    <font>
      <b/>
      <sz val="9"/>
      <color indexed="81"/>
      <name val="Tahoma"/>
      <family val="2"/>
    </font>
    <font>
      <sz val="9"/>
      <color indexed="81"/>
      <name val="Tahoma"/>
      <family val="2"/>
    </font>
    <font>
      <b/>
      <sz val="10"/>
      <name val="Arial"/>
      <family val="2"/>
    </font>
    <font>
      <sz val="10"/>
      <color indexed="12"/>
      <name val="Arial"/>
      <family val="2"/>
    </font>
    <font>
      <sz val="9"/>
      <color rgb="FF0070C0"/>
      <name val="Arial"/>
      <family val="2"/>
    </font>
    <font>
      <sz val="9"/>
      <color theme="4"/>
      <name val="Arial"/>
      <family val="2"/>
    </font>
    <font>
      <b/>
      <sz val="9"/>
      <color rgb="FF0070C0"/>
      <name val="Arial"/>
      <family val="2"/>
    </font>
    <font>
      <i/>
      <sz val="9"/>
      <color rgb="FF0070C0"/>
      <name val="Arial"/>
      <family val="2"/>
    </font>
    <font>
      <sz val="9"/>
      <color theme="0"/>
      <name val="Arial"/>
      <family val="2"/>
    </font>
    <font>
      <b/>
      <sz val="9"/>
      <color theme="0"/>
      <name val="Arial"/>
      <family val="2"/>
    </font>
    <font>
      <sz val="9"/>
      <color theme="1"/>
      <name val="Arial"/>
      <family val="2"/>
    </font>
    <font>
      <sz val="9"/>
      <color rgb="FF0000FF"/>
      <name val="Arial"/>
      <family val="2"/>
    </font>
    <font>
      <sz val="10"/>
      <name val="Arial"/>
      <family val="2"/>
    </font>
    <font>
      <sz val="9"/>
      <color theme="4" tint="-0.249977111117893"/>
      <name val="Arial"/>
      <family val="2"/>
    </font>
    <font>
      <sz val="9"/>
      <color theme="3" tint="-0.249977111117893"/>
      <name val="Arial"/>
      <family val="2"/>
    </font>
    <font>
      <b/>
      <i/>
      <sz val="9"/>
      <name val="Arial"/>
      <family val="2"/>
    </font>
  </fonts>
  <fills count="18">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3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rgb="FF002060"/>
        <bgColor indexed="64"/>
      </patternFill>
    </fill>
    <fill>
      <patternFill patternType="solid">
        <fgColor theme="3"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3333"/>
        <bgColor indexed="64"/>
      </patternFill>
    </fill>
    <fill>
      <patternFill patternType="solid">
        <fgColor rgb="FFFFC000"/>
        <bgColor indexed="64"/>
      </patternFill>
    </fill>
    <fill>
      <patternFill patternType="solid">
        <fgColor rgb="FF00B050"/>
        <bgColor indexed="64"/>
      </patternFill>
    </fill>
    <fill>
      <patternFill patternType="solid">
        <fgColor theme="8" tint="0.39997558519241921"/>
        <bgColor indexed="64"/>
      </patternFill>
    </fill>
  </fills>
  <borders count="32">
    <border>
      <left/>
      <right/>
      <top/>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double">
        <color indexed="64"/>
      </bottom>
      <diagonal/>
    </border>
    <border>
      <left/>
      <right style="thin">
        <color theme="1"/>
      </right>
      <top/>
      <bottom style="thin">
        <color indexed="64"/>
      </bottom>
      <diagonal/>
    </border>
    <border>
      <left/>
      <right/>
      <top/>
      <bottom style="thin">
        <color theme="1"/>
      </bottom>
      <diagonal/>
    </border>
    <border>
      <left/>
      <right/>
      <top style="thin">
        <color theme="1"/>
      </top>
      <bottom/>
      <diagonal/>
    </border>
    <border>
      <left style="thin">
        <color theme="1"/>
      </left>
      <right/>
      <top/>
      <bottom style="thin">
        <color indexed="64"/>
      </bottom>
      <diagonal/>
    </border>
  </borders>
  <cellStyleXfs count="4">
    <xf numFmtId="0" fontId="0" fillId="0" borderId="0"/>
    <xf numFmtId="0" fontId="9" fillId="0" borderId="0"/>
    <xf numFmtId="0" fontId="9" fillId="0" borderId="0"/>
    <xf numFmtId="9" fontId="23" fillId="0" borderId="0" applyFont="0" applyFill="0" applyBorder="0" applyAlignment="0" applyProtection="0"/>
  </cellStyleXfs>
  <cellXfs count="466">
    <xf numFmtId="0" fontId="0" fillId="0" borderId="0" xfId="0"/>
    <xf numFmtId="0" fontId="2" fillId="0" borderId="0" xfId="0" applyFont="1" applyAlignment="1"/>
    <xf numFmtId="0" fontId="3" fillId="0" borderId="0" xfId="0" applyFont="1" applyAlignment="1"/>
    <xf numFmtId="165" fontId="3" fillId="0" borderId="0" xfId="0" applyNumberFormat="1" applyFont="1" applyAlignment="1"/>
    <xf numFmtId="0" fontId="3" fillId="2" borderId="0" xfId="0" applyFont="1" applyFill="1" applyAlignment="1"/>
    <xf numFmtId="0" fontId="3" fillId="2" borderId="0" xfId="0" quotePrefix="1" applyFont="1" applyFill="1" applyAlignment="1"/>
    <xf numFmtId="165" fontId="3" fillId="2" borderId="0" xfId="0" applyNumberFormat="1" applyFont="1" applyFill="1" applyAlignment="1"/>
    <xf numFmtId="167" fontId="2" fillId="0" borderId="0" xfId="0" applyNumberFormat="1" applyFont="1" applyAlignment="1">
      <alignment horizontal="right"/>
    </xf>
    <xf numFmtId="165" fontId="2" fillId="0" borderId="0" xfId="0" applyNumberFormat="1" applyFont="1" applyAlignment="1">
      <alignment horizontal="center"/>
    </xf>
    <xf numFmtId="168" fontId="3" fillId="0" borderId="0" xfId="0" applyNumberFormat="1" applyFont="1" applyAlignment="1"/>
    <xf numFmtId="0" fontId="3" fillId="0" borderId="0" xfId="0" applyFont="1" applyFill="1" applyAlignment="1"/>
    <xf numFmtId="167" fontId="3" fillId="0" borderId="0" xfId="0" applyNumberFormat="1" applyFont="1" applyFill="1" applyAlignment="1">
      <alignment horizontal="right"/>
    </xf>
    <xf numFmtId="0" fontId="3" fillId="0" borderId="0" xfId="0" applyFont="1" applyAlignment="1">
      <alignment horizontal="center"/>
    </xf>
    <xf numFmtId="0" fontId="2" fillId="0" borderId="0" xfId="0" applyFont="1" applyBorder="1" applyAlignment="1"/>
    <xf numFmtId="4" fontId="2" fillId="0" borderId="0" xfId="0" applyNumberFormat="1" applyFont="1" applyBorder="1" applyAlignment="1"/>
    <xf numFmtId="4" fontId="2" fillId="0" borderId="0" xfId="0" applyNumberFormat="1" applyFont="1" applyAlignment="1">
      <alignment horizontal="right"/>
    </xf>
    <xf numFmtId="4" fontId="3" fillId="0" borderId="0" xfId="0" applyNumberFormat="1" applyFont="1" applyAlignment="1">
      <alignment horizontal="right"/>
    </xf>
    <xf numFmtId="169" fontId="3" fillId="0" borderId="0" xfId="0" applyNumberFormat="1" applyFont="1" applyAlignment="1"/>
    <xf numFmtId="169" fontId="6" fillId="0" borderId="0" xfId="0" applyNumberFormat="1" applyFont="1" applyAlignment="1">
      <alignment horizontal="right"/>
    </xf>
    <xf numFmtId="169" fontId="3" fillId="0" borderId="0" xfId="0" applyNumberFormat="1" applyFont="1" applyAlignment="1">
      <alignment horizontal="right"/>
    </xf>
    <xf numFmtId="169" fontId="2" fillId="0" borderId="0" xfId="0" applyNumberFormat="1" applyFont="1" applyAlignment="1">
      <alignment horizontal="right"/>
    </xf>
    <xf numFmtId="9" fontId="5" fillId="0" borderId="0" xfId="0" applyNumberFormat="1" applyFont="1" applyBorder="1" applyAlignment="1"/>
    <xf numFmtId="0" fontId="2" fillId="0" borderId="0" xfId="0" applyFont="1" applyFill="1" applyAlignment="1"/>
    <xf numFmtId="9" fontId="4" fillId="0" borderId="0" xfId="0" applyNumberFormat="1" applyFont="1" applyFill="1" applyAlignment="1">
      <alignment horizontal="right"/>
    </xf>
    <xf numFmtId="0" fontId="4" fillId="0" borderId="0" xfId="0" applyFont="1" applyFill="1" applyAlignment="1"/>
    <xf numFmtId="167" fontId="3" fillId="0" borderId="0" xfId="0" applyNumberFormat="1" applyFont="1" applyAlignment="1"/>
    <xf numFmtId="0" fontId="3" fillId="0" borderId="0" xfId="0" applyFont="1" applyBorder="1" applyAlignment="1">
      <alignment horizontal="center"/>
    </xf>
    <xf numFmtId="169" fontId="3" fillId="0" borderId="0" xfId="0" applyNumberFormat="1" applyFont="1" applyBorder="1" applyAlignment="1"/>
    <xf numFmtId="167" fontId="2" fillId="0" borderId="0" xfId="0" applyNumberFormat="1" applyFont="1" applyFill="1" applyAlignment="1">
      <alignment horizontal="right"/>
    </xf>
    <xf numFmtId="0" fontId="3" fillId="0" borderId="0" xfId="0" applyFont="1" applyBorder="1" applyAlignment="1"/>
    <xf numFmtId="0" fontId="2" fillId="2" borderId="2" xfId="0" applyFont="1" applyFill="1" applyBorder="1" applyAlignment="1"/>
    <xf numFmtId="165" fontId="2" fillId="2" borderId="2" xfId="0" applyNumberFormat="1" applyFont="1" applyFill="1" applyBorder="1" applyAlignment="1"/>
    <xf numFmtId="0" fontId="3" fillId="3" borderId="0" xfId="0" applyFont="1" applyFill="1" applyAlignment="1"/>
    <xf numFmtId="165" fontId="3" fillId="3" borderId="0" xfId="0" applyNumberFormat="1" applyFont="1" applyFill="1" applyAlignment="1"/>
    <xf numFmtId="0" fontId="2" fillId="2" borderId="2" xfId="0" applyFont="1" applyFill="1" applyBorder="1"/>
    <xf numFmtId="0" fontId="2" fillId="2" borderId="0" xfId="0" applyFont="1" applyFill="1" applyAlignment="1">
      <alignment horizontal="centerContinuous"/>
    </xf>
    <xf numFmtId="165" fontId="2" fillId="2" borderId="0" xfId="0" applyNumberFormat="1" applyFont="1" applyFill="1" applyBorder="1" applyAlignment="1">
      <alignment horizontal="centerContinuous"/>
    </xf>
    <xf numFmtId="0" fontId="2" fillId="2" borderId="1" xfId="0" applyFont="1" applyFill="1" applyBorder="1" applyAlignment="1"/>
    <xf numFmtId="0" fontId="2" fillId="2" borderId="1" xfId="0" applyFont="1" applyFill="1" applyBorder="1" applyAlignment="1">
      <alignment wrapText="1"/>
    </xf>
    <xf numFmtId="174" fontId="2" fillId="2" borderId="1" xfId="0" applyNumberFormat="1" applyFont="1" applyFill="1" applyBorder="1" applyAlignment="1">
      <alignment horizontal="right" wrapText="1"/>
    </xf>
    <xf numFmtId="165" fontId="3" fillId="2" borderId="2" xfId="0" applyNumberFormat="1" applyFont="1" applyFill="1" applyBorder="1" applyAlignment="1"/>
    <xf numFmtId="165" fontId="2" fillId="2" borderId="1" xfId="0" applyNumberFormat="1" applyFont="1" applyFill="1" applyBorder="1" applyAlignment="1">
      <alignment horizontal="centerContinuous"/>
    </xf>
    <xf numFmtId="165" fontId="2" fillId="2" borderId="2" xfId="0" applyNumberFormat="1" applyFont="1" applyFill="1" applyBorder="1" applyAlignment="1">
      <alignment horizontal="centerContinuous"/>
    </xf>
    <xf numFmtId="165" fontId="2" fillId="2" borderId="3" xfId="0" applyNumberFormat="1" applyFont="1" applyFill="1" applyBorder="1" applyAlignment="1">
      <alignment horizontal="centerContinuous"/>
    </xf>
    <xf numFmtId="165" fontId="2" fillId="2" borderId="4" xfId="0" applyNumberFormat="1" applyFont="1" applyFill="1" applyBorder="1" applyAlignment="1">
      <alignment horizontal="centerContinuous"/>
    </xf>
    <xf numFmtId="0" fontId="3" fillId="2" borderId="1" xfId="0" applyFont="1" applyFill="1" applyBorder="1" applyAlignment="1">
      <alignment horizontal="centerContinuous"/>
    </xf>
    <xf numFmtId="0" fontId="2" fillId="2" borderId="1" xfId="0" applyFont="1" applyFill="1" applyBorder="1" applyAlignment="1">
      <alignment horizontal="centerContinuous"/>
    </xf>
    <xf numFmtId="175" fontId="2" fillId="2" borderId="1" xfId="0" applyNumberFormat="1" applyFont="1" applyFill="1" applyBorder="1" applyAlignment="1">
      <alignment horizontal="right" wrapText="1"/>
    </xf>
    <xf numFmtId="176" fontId="2" fillId="2" borderId="1" xfId="0" applyNumberFormat="1" applyFont="1" applyFill="1" applyBorder="1" applyAlignment="1">
      <alignment horizontal="right" wrapText="1"/>
    </xf>
    <xf numFmtId="0" fontId="3" fillId="0" borderId="0" xfId="0" applyFont="1"/>
    <xf numFmtId="0" fontId="3" fillId="0" borderId="0" xfId="0" applyFont="1" applyBorder="1"/>
    <xf numFmtId="0" fontId="3" fillId="3" borderId="0" xfId="0" applyFont="1" applyFill="1"/>
    <xf numFmtId="0" fontId="3" fillId="0" borderId="0" xfId="0" applyFont="1" applyFill="1"/>
    <xf numFmtId="0" fontId="3" fillId="2" borderId="2" xfId="0" applyFont="1" applyFill="1" applyBorder="1" applyAlignment="1"/>
    <xf numFmtId="165" fontId="3" fillId="2" borderId="1" xfId="0" applyNumberFormat="1" applyFont="1" applyFill="1" applyBorder="1" applyAlignment="1"/>
    <xf numFmtId="165" fontId="3" fillId="0" borderId="0" xfId="0" applyNumberFormat="1" applyFont="1"/>
    <xf numFmtId="172" fontId="3" fillId="0" borderId="0" xfId="0" applyNumberFormat="1" applyFont="1"/>
    <xf numFmtId="2" fontId="3" fillId="0" borderId="0" xfId="0" applyNumberFormat="1" applyFont="1"/>
    <xf numFmtId="0" fontId="3" fillId="3" borderId="0" xfId="1" applyFont="1" applyFill="1"/>
    <xf numFmtId="165" fontId="3" fillId="3" borderId="0" xfId="1" applyNumberFormat="1" applyFont="1" applyFill="1"/>
    <xf numFmtId="0" fontId="3" fillId="0" borderId="0" xfId="1" applyFont="1"/>
    <xf numFmtId="0" fontId="2" fillId="2" borderId="2" xfId="1" applyFont="1" applyFill="1" applyBorder="1"/>
    <xf numFmtId="165" fontId="3" fillId="2" borderId="2" xfId="1" applyNumberFormat="1" applyFont="1" applyFill="1" applyBorder="1"/>
    <xf numFmtId="165" fontId="2" fillId="2" borderId="2" xfId="1" applyNumberFormat="1" applyFont="1" applyFill="1" applyBorder="1"/>
    <xf numFmtId="0" fontId="3" fillId="2" borderId="0" xfId="0" applyFont="1" applyFill="1"/>
    <xf numFmtId="165" fontId="3" fillId="2" borderId="0" xfId="1" applyNumberFormat="1" applyFont="1" applyFill="1"/>
    <xf numFmtId="0" fontId="3" fillId="2" borderId="0" xfId="1" quotePrefix="1" applyFont="1" applyFill="1"/>
    <xf numFmtId="165" fontId="2" fillId="2" borderId="1" xfId="1" applyNumberFormat="1" applyFont="1" applyFill="1" applyBorder="1" applyAlignment="1">
      <alignment horizontal="centerContinuous"/>
    </xf>
    <xf numFmtId="165" fontId="2" fillId="2" borderId="3" xfId="1" applyNumberFormat="1" applyFont="1" applyFill="1" applyBorder="1" applyAlignment="1">
      <alignment horizontal="centerContinuous"/>
    </xf>
    <xf numFmtId="165" fontId="2" fillId="2" borderId="4" xfId="1" applyNumberFormat="1" applyFont="1" applyFill="1" applyBorder="1" applyAlignment="1">
      <alignment horizontal="centerContinuous"/>
    </xf>
    <xf numFmtId="0" fontId="3" fillId="2" borderId="1" xfId="1" applyFont="1" applyFill="1" applyBorder="1" applyAlignment="1">
      <alignment horizontal="centerContinuous"/>
    </xf>
    <xf numFmtId="0" fontId="2" fillId="2" borderId="1" xfId="1" applyFont="1" applyFill="1" applyBorder="1" applyAlignment="1">
      <alignment horizontal="centerContinuous"/>
    </xf>
    <xf numFmtId="0" fontId="3" fillId="2" borderId="0" xfId="1" applyFont="1" applyFill="1"/>
    <xf numFmtId="165" fontId="2" fillId="2" borderId="0" xfId="1" applyNumberFormat="1" applyFont="1" applyFill="1" applyAlignment="1">
      <alignment horizontal="centerContinuous"/>
    </xf>
    <xf numFmtId="0" fontId="2" fillId="2" borderId="0" xfId="1" applyFont="1" applyFill="1" applyAlignment="1">
      <alignment horizontal="centerContinuous"/>
    </xf>
    <xf numFmtId="0" fontId="2" fillId="2" borderId="1" xfId="1" applyFont="1" applyFill="1" applyBorder="1"/>
    <xf numFmtId="165" fontId="3" fillId="2" borderId="1" xfId="1" applyNumberFormat="1" applyFont="1" applyFill="1" applyBorder="1"/>
    <xf numFmtId="175" fontId="2" fillId="2" borderId="1" xfId="1" applyNumberFormat="1" applyFont="1" applyFill="1" applyBorder="1" applyAlignment="1">
      <alignment horizontal="right"/>
    </xf>
    <xf numFmtId="176" fontId="2" fillId="2" borderId="1" xfId="1" applyNumberFormat="1" applyFont="1" applyFill="1" applyBorder="1" applyAlignment="1">
      <alignment horizontal="right"/>
    </xf>
    <xf numFmtId="0" fontId="2" fillId="6" borderId="0" xfId="1" applyFont="1" applyFill="1"/>
    <xf numFmtId="0" fontId="3" fillId="6" borderId="0" xfId="1" applyFont="1" applyFill="1"/>
    <xf numFmtId="165" fontId="3" fillId="6" borderId="0" xfId="1" applyNumberFormat="1" applyFont="1" applyFill="1"/>
    <xf numFmtId="165" fontId="3" fillId="6" borderId="1" xfId="1" applyNumberFormat="1" applyFont="1" applyFill="1" applyBorder="1"/>
    <xf numFmtId="165" fontId="2" fillId="6" borderId="0" xfId="1" applyNumberFormat="1" applyFont="1" applyFill="1"/>
    <xf numFmtId="0" fontId="2" fillId="0" borderId="0" xfId="1" applyFont="1"/>
    <xf numFmtId="0" fontId="3" fillId="6" borderId="0" xfId="2" applyFont="1" applyFill="1"/>
    <xf numFmtId="165" fontId="3" fillId="0" borderId="0" xfId="1" applyNumberFormat="1" applyFont="1"/>
    <xf numFmtId="0" fontId="2" fillId="2" borderId="5" xfId="1" applyFont="1" applyFill="1" applyBorder="1"/>
    <xf numFmtId="0" fontId="2" fillId="2" borderId="6" xfId="1" applyFont="1" applyFill="1" applyBorder="1"/>
    <xf numFmtId="0" fontId="2" fillId="2" borderId="7" xfId="1" applyFont="1" applyFill="1" applyBorder="1"/>
    <xf numFmtId="0" fontId="3" fillId="2" borderId="6" xfId="1" applyFont="1" applyFill="1" applyBorder="1"/>
    <xf numFmtId="0" fontId="3" fillId="2" borderId="7" xfId="1" applyFont="1" applyFill="1" applyBorder="1"/>
    <xf numFmtId="0" fontId="3" fillId="6" borderId="8" xfId="1" applyFont="1" applyFill="1" applyBorder="1"/>
    <xf numFmtId="0" fontId="3" fillId="6" borderId="0" xfId="1" applyFont="1" applyFill="1" applyAlignment="1">
      <alignment horizontal="left"/>
    </xf>
    <xf numFmtId="165" fontId="3" fillId="6" borderId="9" xfId="1" applyNumberFormat="1" applyFont="1" applyFill="1" applyBorder="1"/>
    <xf numFmtId="0" fontId="3" fillId="6" borderId="8" xfId="1" applyFont="1" applyFill="1" applyBorder="1" applyAlignment="1">
      <alignment horizontal="left"/>
    </xf>
    <xf numFmtId="0" fontId="2" fillId="6" borderId="8" xfId="1" applyFont="1" applyFill="1" applyBorder="1"/>
    <xf numFmtId="177" fontId="6" fillId="6" borderId="10" xfId="2" applyNumberFormat="1" applyFont="1" applyFill="1" applyBorder="1"/>
    <xf numFmtId="167" fontId="3" fillId="6" borderId="9" xfId="2" applyNumberFormat="1" applyFont="1" applyFill="1" applyBorder="1"/>
    <xf numFmtId="38" fontId="3" fillId="6" borderId="9" xfId="1" applyNumberFormat="1" applyFont="1" applyFill="1" applyBorder="1"/>
    <xf numFmtId="0" fontId="3" fillId="6" borderId="4" xfId="1" applyFont="1" applyFill="1" applyBorder="1"/>
    <xf numFmtId="0" fontId="2" fillId="6" borderId="1" xfId="1" applyFont="1" applyFill="1" applyBorder="1" applyAlignment="1">
      <alignment horizontal="left"/>
    </xf>
    <xf numFmtId="0" fontId="3" fillId="6" borderId="1" xfId="1" applyFont="1" applyFill="1" applyBorder="1"/>
    <xf numFmtId="167" fontId="2" fillId="6" borderId="3" xfId="2" applyNumberFormat="1" applyFont="1" applyFill="1" applyBorder="1"/>
    <xf numFmtId="10" fontId="3" fillId="6" borderId="0" xfId="1" applyNumberFormat="1" applyFont="1" applyFill="1"/>
    <xf numFmtId="167" fontId="3" fillId="6" borderId="9" xfId="1" applyNumberFormat="1" applyFont="1" applyFill="1" applyBorder="1"/>
    <xf numFmtId="0" fontId="3" fillId="6" borderId="9" xfId="1" applyFont="1" applyFill="1" applyBorder="1"/>
    <xf numFmtId="0" fontId="3" fillId="6" borderId="11" xfId="1" applyFont="1" applyFill="1" applyBorder="1"/>
    <xf numFmtId="0" fontId="3" fillId="6" borderId="2" xfId="1" applyFont="1" applyFill="1" applyBorder="1" applyAlignment="1">
      <alignment horizontal="left"/>
    </xf>
    <xf numFmtId="0" fontId="3" fillId="6" borderId="2" xfId="1" applyFont="1" applyFill="1" applyBorder="1"/>
    <xf numFmtId="165" fontId="3" fillId="6" borderId="12" xfId="1" applyNumberFormat="1" applyFont="1" applyFill="1" applyBorder="1"/>
    <xf numFmtId="0" fontId="2" fillId="6" borderId="4" xfId="1" applyFont="1" applyFill="1" applyBorder="1"/>
    <xf numFmtId="10" fontId="2" fillId="6" borderId="1" xfId="1" applyNumberFormat="1" applyFont="1" applyFill="1" applyBorder="1"/>
    <xf numFmtId="0" fontId="3" fillId="6" borderId="3" xfId="1" applyFont="1" applyFill="1" applyBorder="1"/>
    <xf numFmtId="0" fontId="9" fillId="6" borderId="0" xfId="1" applyFill="1"/>
    <xf numFmtId="165" fontId="2" fillId="6" borderId="3" xfId="2" applyNumberFormat="1" applyFont="1" applyFill="1" applyBorder="1"/>
    <xf numFmtId="0" fontId="2" fillId="2" borderId="6" xfId="1" applyFont="1" applyFill="1" applyBorder="1" applyAlignment="1">
      <alignment horizontal="right"/>
    </xf>
    <xf numFmtId="0" fontId="2" fillId="2" borderId="7" xfId="1" applyFont="1" applyFill="1" applyBorder="1" applyAlignment="1">
      <alignment horizontal="right"/>
    </xf>
    <xf numFmtId="167" fontId="3" fillId="6" borderId="0" xfId="1" applyNumberFormat="1" applyFont="1" applyFill="1"/>
    <xf numFmtId="165" fontId="2" fillId="6" borderId="9" xfId="1" applyNumberFormat="1" applyFont="1" applyFill="1" applyBorder="1"/>
    <xf numFmtId="0" fontId="2" fillId="6" borderId="1" xfId="1" applyFont="1" applyFill="1" applyBorder="1"/>
    <xf numFmtId="165" fontId="15" fillId="6" borderId="0" xfId="1" applyNumberFormat="1" applyFont="1" applyFill="1"/>
    <xf numFmtId="10" fontId="15" fillId="6" borderId="0" xfId="1" applyNumberFormat="1" applyFont="1" applyFill="1"/>
    <xf numFmtId="178" fontId="15" fillId="6" borderId="0" xfId="1" applyNumberFormat="1" applyFont="1" applyFill="1"/>
    <xf numFmtId="39" fontId="15" fillId="6" borderId="9" xfId="1" applyNumberFormat="1" applyFont="1" applyFill="1" applyBorder="1"/>
    <xf numFmtId="10" fontId="3" fillId="6" borderId="13" xfId="2" applyNumberFormat="1" applyFont="1" applyFill="1" applyBorder="1"/>
    <xf numFmtId="165" fontId="3" fillId="0" borderId="9" xfId="2" applyNumberFormat="1" applyFont="1" applyFill="1" applyBorder="1"/>
    <xf numFmtId="0" fontId="2" fillId="2" borderId="11" xfId="1" applyFont="1" applyFill="1" applyBorder="1"/>
    <xf numFmtId="0" fontId="2" fillId="2" borderId="12" xfId="1" applyFont="1" applyFill="1" applyBorder="1"/>
    <xf numFmtId="0" fontId="9" fillId="7" borderId="1" xfId="1" applyFill="1" applyBorder="1"/>
    <xf numFmtId="0" fontId="9" fillId="7" borderId="0" xfId="1" applyFill="1"/>
    <xf numFmtId="0" fontId="9" fillId="7" borderId="9" xfId="1" applyFill="1" applyBorder="1"/>
    <xf numFmtId="0" fontId="3" fillId="2" borderId="8" xfId="1" applyFont="1" applyFill="1" applyBorder="1"/>
    <xf numFmtId="0" fontId="2" fillId="2" borderId="14" xfId="1" applyFont="1" applyFill="1" applyBorder="1" applyAlignment="1">
      <alignment horizontal="left"/>
    </xf>
    <xf numFmtId="0" fontId="2" fillId="2" borderId="5" xfId="1" applyFont="1" applyFill="1" applyBorder="1" applyAlignment="1">
      <alignment horizontal="centerContinuous" wrapText="1"/>
    </xf>
    <xf numFmtId="0" fontId="3" fillId="2" borderId="6" xfId="1" applyFont="1" applyFill="1" applyBorder="1" applyAlignment="1">
      <alignment horizontal="centerContinuous"/>
    </xf>
    <xf numFmtId="0" fontId="3" fillId="2" borderId="7" xfId="1" applyFont="1" applyFill="1" applyBorder="1" applyAlignment="1">
      <alignment horizontal="centerContinuous"/>
    </xf>
    <xf numFmtId="0" fontId="2" fillId="8" borderId="11" xfId="1" applyFont="1" applyFill="1" applyBorder="1" applyAlignment="1">
      <alignment horizontal="centerContinuous" wrapText="1"/>
    </xf>
    <xf numFmtId="0" fontId="2" fillId="8" borderId="6" xfId="1" applyFont="1" applyFill="1" applyBorder="1" applyAlignment="1">
      <alignment horizontal="centerContinuous" wrapText="1"/>
    </xf>
    <xf numFmtId="0" fontId="3" fillId="8" borderId="12" xfId="1" applyFont="1" applyFill="1" applyBorder="1" applyAlignment="1">
      <alignment horizontal="centerContinuous" wrapText="1"/>
    </xf>
    <xf numFmtId="0" fontId="3" fillId="8" borderId="7" xfId="1" applyFont="1" applyFill="1" applyBorder="1" applyAlignment="1">
      <alignment horizontal="centerContinuous" wrapText="1"/>
    </xf>
    <xf numFmtId="0" fontId="2" fillId="2" borderId="8" xfId="1" applyFont="1" applyFill="1" applyBorder="1"/>
    <xf numFmtId="0" fontId="2" fillId="2" borderId="0" xfId="1" applyFont="1" applyFill="1"/>
    <xf numFmtId="166" fontId="2" fillId="2" borderId="14" xfId="1" applyNumberFormat="1" applyFont="1" applyFill="1" applyBorder="1" applyAlignment="1">
      <alignment horizontal="left" wrapText="1"/>
    </xf>
    <xf numFmtId="166" fontId="2" fillId="2" borderId="8" xfId="1" applyNumberFormat="1" applyFont="1" applyFill="1" applyBorder="1" applyAlignment="1">
      <alignment horizontal="right" wrapText="1"/>
    </xf>
    <xf numFmtId="166" fontId="2" fillId="2" borderId="0" xfId="1" applyNumberFormat="1" applyFont="1" applyFill="1" applyAlignment="1">
      <alignment horizontal="right" wrapText="1"/>
    </xf>
    <xf numFmtId="166" fontId="2" fillId="2" borderId="9" xfId="1" applyNumberFormat="1" applyFont="1" applyFill="1" applyBorder="1" applyAlignment="1">
      <alignment horizontal="right" wrapText="1"/>
    </xf>
    <xf numFmtId="0" fontId="2" fillId="2" borderId="11" xfId="1" applyFont="1" applyFill="1" applyBorder="1" applyAlignment="1">
      <alignment horizontal="right" wrapText="1"/>
    </xf>
    <xf numFmtId="166" fontId="2" fillId="2" borderId="12" xfId="1" applyNumberFormat="1" applyFont="1" applyFill="1" applyBorder="1" applyAlignment="1">
      <alignment horizontal="right" wrapText="1"/>
    </xf>
    <xf numFmtId="166" fontId="2" fillId="2" borderId="12" xfId="1" quotePrefix="1" applyNumberFormat="1" applyFont="1" applyFill="1" applyBorder="1" applyAlignment="1">
      <alignment horizontal="right" wrapText="1"/>
    </xf>
    <xf numFmtId="0" fontId="2" fillId="2" borderId="4" xfId="1" applyFont="1" applyFill="1" applyBorder="1"/>
    <xf numFmtId="166" fontId="2" fillId="2" borderId="15" xfId="1" applyNumberFormat="1" applyFont="1" applyFill="1" applyBorder="1" applyAlignment="1">
      <alignment horizontal="left" wrapText="1"/>
    </xf>
    <xf numFmtId="166" fontId="2" fillId="2" borderId="4" xfId="1" applyNumberFormat="1" applyFont="1" applyFill="1" applyBorder="1" applyAlignment="1">
      <alignment horizontal="right" wrapText="1"/>
    </xf>
    <xf numFmtId="166" fontId="2" fillId="2" borderId="1" xfId="1" applyNumberFormat="1" applyFont="1" applyFill="1" applyBorder="1" applyAlignment="1">
      <alignment horizontal="right" wrapText="1"/>
    </xf>
    <xf numFmtId="166" fontId="2" fillId="2" borderId="3" xfId="1" applyNumberFormat="1" applyFont="1" applyFill="1" applyBorder="1" applyAlignment="1">
      <alignment horizontal="right" wrapText="1"/>
    </xf>
    <xf numFmtId="0" fontId="3" fillId="4" borderId="5" xfId="1" applyFont="1" applyFill="1" applyBorder="1"/>
    <xf numFmtId="0" fontId="3" fillId="4" borderId="6" xfId="1" applyFont="1" applyFill="1" applyBorder="1"/>
    <xf numFmtId="173" fontId="3" fillId="4" borderId="6" xfId="1" applyNumberFormat="1" applyFont="1" applyFill="1" applyBorder="1" applyAlignment="1">
      <alignment horizontal="center"/>
    </xf>
    <xf numFmtId="169" fontId="3" fillId="4" borderId="6" xfId="1" applyNumberFormat="1" applyFont="1" applyFill="1" applyBorder="1" applyAlignment="1">
      <alignment horizontal="center"/>
    </xf>
    <xf numFmtId="177" fontId="3" fillId="4" borderId="6" xfId="1" applyNumberFormat="1" applyFont="1" applyFill="1" applyBorder="1" applyAlignment="1">
      <alignment horizontal="center"/>
    </xf>
    <xf numFmtId="177" fontId="3" fillId="4" borderId="7" xfId="1" applyNumberFormat="1" applyFont="1" applyFill="1" applyBorder="1" applyAlignment="1">
      <alignment horizontal="center"/>
    </xf>
    <xf numFmtId="0" fontId="3" fillId="3" borderId="16" xfId="1" applyFont="1" applyFill="1" applyBorder="1"/>
    <xf numFmtId="173" fontId="3" fillId="6" borderId="17" xfId="1" applyNumberFormat="1" applyFont="1" applyFill="1" applyBorder="1" applyAlignment="1">
      <alignment horizontal="center"/>
    </xf>
    <xf numFmtId="169" fontId="3" fillId="6" borderId="17" xfId="1" applyNumberFormat="1" applyFont="1" applyFill="1" applyBorder="1" applyAlignment="1">
      <alignment horizontal="center"/>
    </xf>
    <xf numFmtId="177" fontId="3" fillId="3" borderId="18" xfId="1" applyNumberFormat="1" applyFont="1" applyFill="1" applyBorder="1" applyAlignment="1">
      <alignment horizontal="center"/>
    </xf>
    <xf numFmtId="177" fontId="3" fillId="3" borderId="19" xfId="1" applyNumberFormat="1" applyFont="1" applyFill="1" applyBorder="1" applyAlignment="1">
      <alignment horizontal="center"/>
    </xf>
    <xf numFmtId="0" fontId="3" fillId="3" borderId="20" xfId="1" applyFont="1" applyFill="1" applyBorder="1"/>
    <xf numFmtId="0" fontId="3" fillId="3" borderId="18" xfId="1" applyFont="1" applyFill="1" applyBorder="1"/>
    <xf numFmtId="173" fontId="3" fillId="6" borderId="18" xfId="1" applyNumberFormat="1" applyFont="1" applyFill="1" applyBorder="1" applyAlignment="1">
      <alignment horizontal="center"/>
    </xf>
    <xf numFmtId="169" fontId="3" fillId="6" borderId="18" xfId="1" applyNumberFormat="1" applyFont="1" applyFill="1" applyBorder="1" applyAlignment="1">
      <alignment horizontal="center"/>
    </xf>
    <xf numFmtId="0" fontId="3" fillId="3" borderId="21" xfId="1" applyFont="1" applyFill="1" applyBorder="1"/>
    <xf numFmtId="0" fontId="3" fillId="3" borderId="22" xfId="1" applyFont="1" applyFill="1" applyBorder="1"/>
    <xf numFmtId="173" fontId="3" fillId="6" borderId="22" xfId="1" applyNumberFormat="1" applyFont="1" applyFill="1" applyBorder="1" applyAlignment="1">
      <alignment horizontal="center"/>
    </xf>
    <xf numFmtId="169" fontId="3" fillId="6" borderId="22" xfId="1" applyNumberFormat="1" applyFont="1" applyFill="1" applyBorder="1" applyAlignment="1">
      <alignment horizontal="center"/>
    </xf>
    <xf numFmtId="177" fontId="3" fillId="3" borderId="22" xfId="1" applyNumberFormat="1" applyFont="1" applyFill="1" applyBorder="1" applyAlignment="1">
      <alignment horizontal="center"/>
    </xf>
    <xf numFmtId="177" fontId="3" fillId="3" borderId="23" xfId="1" applyNumberFormat="1" applyFont="1" applyFill="1" applyBorder="1" applyAlignment="1">
      <alignment horizontal="center"/>
    </xf>
    <xf numFmtId="0" fontId="3" fillId="5" borderId="0" xfId="1" applyFont="1" applyFill="1"/>
    <xf numFmtId="0" fontId="2" fillId="5" borderId="0" xfId="1" applyFont="1" applyFill="1"/>
    <xf numFmtId="169" fontId="3" fillId="5" borderId="0" xfId="1" applyNumberFormat="1" applyFont="1" applyFill="1" applyAlignment="1">
      <alignment horizontal="center"/>
    </xf>
    <xf numFmtId="177" fontId="3" fillId="5" borderId="0" xfId="1" applyNumberFormat="1" applyFont="1" applyFill="1" applyAlignment="1">
      <alignment horizontal="center"/>
    </xf>
    <xf numFmtId="177" fontId="3" fillId="5" borderId="9" xfId="1" applyNumberFormat="1" applyFont="1" applyFill="1" applyBorder="1" applyAlignment="1">
      <alignment horizontal="center"/>
    </xf>
    <xf numFmtId="0" fontId="4" fillId="3" borderId="0" xfId="1" applyFont="1" applyFill="1"/>
    <xf numFmtId="0" fontId="3" fillId="5" borderId="1" xfId="1" applyFont="1" applyFill="1" applyBorder="1"/>
    <xf numFmtId="0" fontId="2" fillId="5" borderId="1" xfId="1" applyFont="1" applyFill="1" applyBorder="1"/>
    <xf numFmtId="169" fontId="3" fillId="5" borderId="1" xfId="1" applyNumberFormat="1" applyFont="1" applyFill="1" applyBorder="1" applyAlignment="1">
      <alignment horizontal="center"/>
    </xf>
    <xf numFmtId="177" fontId="3" fillId="5" borderId="1" xfId="1" applyNumberFormat="1" applyFont="1" applyFill="1" applyBorder="1" applyAlignment="1">
      <alignment horizontal="center"/>
    </xf>
    <xf numFmtId="177" fontId="3" fillId="5" borderId="3" xfId="1" applyNumberFormat="1" applyFont="1" applyFill="1" applyBorder="1" applyAlignment="1">
      <alignment horizontal="center"/>
    </xf>
    <xf numFmtId="169" fontId="3" fillId="0" borderId="0" xfId="1" applyNumberFormat="1" applyFont="1"/>
    <xf numFmtId="0" fontId="4" fillId="0" borderId="0" xfId="1" applyFont="1"/>
    <xf numFmtId="0" fontId="3" fillId="2" borderId="0" xfId="1" applyFont="1" applyFill="1" applyAlignment="1">
      <alignment horizontal="centerContinuous"/>
    </xf>
    <xf numFmtId="0" fontId="3" fillId="2" borderId="9" xfId="1" applyFont="1" applyFill="1" applyBorder="1" applyAlignment="1">
      <alignment horizontal="centerContinuous"/>
    </xf>
    <xf numFmtId="0" fontId="2" fillId="2" borderId="3" xfId="1" applyFont="1" applyFill="1" applyBorder="1" applyAlignment="1">
      <alignment horizontal="centerContinuous"/>
    </xf>
    <xf numFmtId="166" fontId="2" fillId="2" borderId="0" xfId="1" quotePrefix="1" applyNumberFormat="1" applyFont="1" applyFill="1" applyAlignment="1">
      <alignment horizontal="right" wrapText="1"/>
    </xf>
    <xf numFmtId="167" fontId="3" fillId="4" borderId="6" xfId="1" applyNumberFormat="1" applyFont="1" applyFill="1" applyBorder="1"/>
    <xf numFmtId="169" fontId="3" fillId="4" borderId="6" xfId="1" applyNumberFormat="1" applyFont="1" applyFill="1" applyBorder="1"/>
    <xf numFmtId="164" fontId="3" fillId="4" borderId="6" xfId="1" applyNumberFormat="1" applyFont="1" applyFill="1" applyBorder="1"/>
    <xf numFmtId="164" fontId="3" fillId="4" borderId="7" xfId="1" applyNumberFormat="1" applyFont="1" applyFill="1" applyBorder="1"/>
    <xf numFmtId="0" fontId="3" fillId="6" borderId="24" xfId="1" applyFont="1" applyFill="1" applyBorder="1"/>
    <xf numFmtId="0" fontId="3" fillId="6" borderId="25" xfId="1" applyFont="1" applyFill="1" applyBorder="1"/>
    <xf numFmtId="169" fontId="3" fillId="6" borderId="25" xfId="1" applyNumberFormat="1" applyFont="1" applyFill="1" applyBorder="1"/>
    <xf numFmtId="167" fontId="3" fillId="6" borderId="25" xfId="1" applyNumberFormat="1" applyFont="1" applyFill="1" applyBorder="1"/>
    <xf numFmtId="164" fontId="3" fillId="6" borderId="25" xfId="1" applyNumberFormat="1" applyFont="1" applyFill="1" applyBorder="1"/>
    <xf numFmtId="164" fontId="3" fillId="6" borderId="26" xfId="1" applyNumberFormat="1" applyFont="1" applyFill="1" applyBorder="1"/>
    <xf numFmtId="169" fontId="3" fillId="6" borderId="18" xfId="1" applyNumberFormat="1" applyFont="1" applyFill="1" applyBorder="1"/>
    <xf numFmtId="37" fontId="3" fillId="6" borderId="18" xfId="1" applyNumberFormat="1" applyFont="1" applyFill="1" applyBorder="1"/>
    <xf numFmtId="164" fontId="3" fillId="6" borderId="18" xfId="1" applyNumberFormat="1" applyFont="1" applyFill="1" applyBorder="1"/>
    <xf numFmtId="164" fontId="3" fillId="6" borderId="19" xfId="1" applyNumberFormat="1" applyFont="1" applyFill="1" applyBorder="1"/>
    <xf numFmtId="169" fontId="3" fillId="6" borderId="22" xfId="1" applyNumberFormat="1" applyFont="1" applyFill="1" applyBorder="1"/>
    <xf numFmtId="37" fontId="3" fillId="6" borderId="22" xfId="1" applyNumberFormat="1" applyFont="1" applyFill="1" applyBorder="1"/>
    <xf numFmtId="164" fontId="3" fillId="6" borderId="22" xfId="1" applyNumberFormat="1" applyFont="1" applyFill="1" applyBorder="1"/>
    <xf numFmtId="164" fontId="3" fillId="6" borderId="23" xfId="1" applyNumberFormat="1" applyFont="1" applyFill="1" applyBorder="1"/>
    <xf numFmtId="165" fontId="3" fillId="3" borderId="0" xfId="0" applyNumberFormat="1" applyFont="1" applyFill="1"/>
    <xf numFmtId="165" fontId="3" fillId="2" borderId="2" xfId="0" applyNumberFormat="1" applyFont="1" applyFill="1" applyBorder="1"/>
    <xf numFmtId="165" fontId="2" fillId="2" borderId="2" xfId="0" applyNumberFormat="1" applyFont="1" applyFill="1" applyBorder="1"/>
    <xf numFmtId="165" fontId="3" fillId="2" borderId="0" xfId="0" applyNumberFormat="1" applyFont="1" applyFill="1"/>
    <xf numFmtId="0" fontId="3" fillId="2" borderId="0" xfId="0" quotePrefix="1" applyFont="1" applyFill="1"/>
    <xf numFmtId="165" fontId="2" fillId="2" borderId="0" xfId="0" applyNumberFormat="1" applyFont="1" applyFill="1" applyAlignment="1">
      <alignment horizontal="centerContinuous"/>
    </xf>
    <xf numFmtId="0" fontId="2" fillId="2" borderId="1" xfId="0" applyFont="1" applyFill="1" applyBorder="1"/>
    <xf numFmtId="165" fontId="3" fillId="2" borderId="1" xfId="0" applyNumberFormat="1" applyFont="1" applyFill="1" applyBorder="1"/>
    <xf numFmtId="0" fontId="2" fillId="6" borderId="0" xfId="0" applyFont="1" applyFill="1"/>
    <xf numFmtId="165" fontId="3" fillId="6" borderId="0" xfId="0" applyNumberFormat="1" applyFont="1" applyFill="1"/>
    <xf numFmtId="0" fontId="2" fillId="6" borderId="0" xfId="0" applyFont="1" applyFill="1" applyAlignment="1">
      <alignment wrapText="1"/>
    </xf>
    <xf numFmtId="0" fontId="3" fillId="6" borderId="0" xfId="0" applyFont="1" applyFill="1"/>
    <xf numFmtId="0" fontId="3" fillId="6" borderId="0" xfId="0" applyFont="1" applyFill="1" applyAlignment="1">
      <alignment wrapText="1"/>
    </xf>
    <xf numFmtId="165" fontId="16" fillId="6" borderId="0" xfId="0" applyNumberFormat="1" applyFont="1" applyFill="1" applyAlignment="1">
      <alignment horizontal="right" wrapText="1"/>
    </xf>
    <xf numFmtId="165" fontId="3" fillId="6" borderId="0" xfId="0" applyNumberFormat="1" applyFont="1" applyFill="1" applyAlignment="1">
      <alignment horizontal="right" wrapText="1"/>
    </xf>
    <xf numFmtId="165" fontId="2" fillId="6" borderId="0" xfId="0" applyNumberFormat="1" applyFont="1" applyFill="1" applyAlignment="1">
      <alignment horizontal="right" wrapText="1"/>
    </xf>
    <xf numFmtId="0" fontId="4" fillId="6" borderId="0" xfId="0" applyFont="1" applyFill="1" applyAlignment="1">
      <alignment wrapText="1"/>
    </xf>
    <xf numFmtId="9" fontId="4" fillId="6" borderId="0" xfId="0" applyNumberFormat="1" applyFont="1" applyFill="1" applyAlignment="1">
      <alignment wrapText="1"/>
    </xf>
    <xf numFmtId="0" fontId="4" fillId="6" borderId="0" xfId="0" applyFont="1" applyFill="1"/>
    <xf numFmtId="9" fontId="4" fillId="6" borderId="1" xfId="0" applyNumberFormat="1" applyFont="1" applyFill="1" applyBorder="1" applyAlignment="1">
      <alignment wrapText="1"/>
    </xf>
    <xf numFmtId="165" fontId="3" fillId="6" borderId="0" xfId="0" applyNumberFormat="1" applyFont="1" applyFill="1" applyAlignment="1">
      <alignment wrapText="1"/>
    </xf>
    <xf numFmtId="167" fontId="3" fillId="6" borderId="1" xfId="0" applyNumberFormat="1" applyFont="1" applyFill="1" applyBorder="1" applyAlignment="1">
      <alignment horizontal="right" wrapText="1"/>
    </xf>
    <xf numFmtId="167" fontId="2" fillId="6" borderId="6" xfId="0" applyNumberFormat="1" applyFont="1" applyFill="1" applyBorder="1" applyAlignment="1">
      <alignment horizontal="right" wrapText="1"/>
    </xf>
    <xf numFmtId="179" fontId="3" fillId="6" borderId="0" xfId="0" applyNumberFormat="1" applyFont="1" applyFill="1"/>
    <xf numFmtId="40" fontId="3" fillId="6" borderId="0" xfId="0" applyNumberFormat="1" applyFont="1" applyFill="1" applyAlignment="1">
      <alignment horizontal="right" wrapText="1"/>
    </xf>
    <xf numFmtId="38" fontId="16" fillId="6" borderId="0" xfId="0" applyNumberFormat="1" applyFont="1" applyFill="1" applyAlignment="1">
      <alignment horizontal="right" wrapText="1"/>
    </xf>
    <xf numFmtId="38" fontId="3" fillId="6" borderId="0" xfId="0" applyNumberFormat="1" applyFont="1" applyFill="1" applyAlignment="1">
      <alignment horizontal="right" wrapText="1"/>
    </xf>
    <xf numFmtId="0" fontId="3" fillId="6" borderId="1" xfId="0" applyFont="1" applyFill="1" applyBorder="1"/>
    <xf numFmtId="38" fontId="16" fillId="6" borderId="1" xfId="0" applyNumberFormat="1" applyFont="1" applyFill="1" applyBorder="1" applyAlignment="1">
      <alignment horizontal="right" wrapText="1"/>
    </xf>
    <xf numFmtId="38" fontId="3" fillId="6" borderId="1" xfId="0" applyNumberFormat="1" applyFont="1" applyFill="1" applyBorder="1" applyAlignment="1">
      <alignment horizontal="right" wrapText="1"/>
    </xf>
    <xf numFmtId="165" fontId="17" fillId="6" borderId="0" xfId="0" applyNumberFormat="1" applyFont="1" applyFill="1" applyAlignment="1">
      <alignment horizontal="right" wrapText="1"/>
    </xf>
    <xf numFmtId="165" fontId="15" fillId="6" borderId="0" xfId="0" applyNumberFormat="1" applyFont="1" applyFill="1" applyAlignment="1">
      <alignment wrapText="1"/>
    </xf>
    <xf numFmtId="165" fontId="15" fillId="6" borderId="0" xfId="0" applyNumberFormat="1" applyFont="1" applyFill="1" applyAlignment="1">
      <alignment horizontal="right" wrapText="1"/>
    </xf>
    <xf numFmtId="167" fontId="15" fillId="6" borderId="1" xfId="0" applyNumberFormat="1" applyFont="1" applyFill="1" applyBorder="1" applyAlignment="1">
      <alignment horizontal="right" wrapText="1"/>
    </xf>
    <xf numFmtId="9" fontId="18" fillId="6" borderId="1" xfId="0" applyNumberFormat="1" applyFont="1" applyFill="1" applyBorder="1" applyAlignment="1">
      <alignment wrapText="1"/>
    </xf>
    <xf numFmtId="172" fontId="18" fillId="6" borderId="0" xfId="0" applyNumberFormat="1" applyFont="1" applyFill="1" applyAlignment="1">
      <alignment wrapText="1"/>
    </xf>
    <xf numFmtId="167" fontId="3" fillId="0" borderId="0" xfId="0" applyNumberFormat="1" applyFont="1"/>
    <xf numFmtId="0" fontId="9" fillId="6" borderId="0" xfId="0" applyFont="1" applyFill="1"/>
    <xf numFmtId="164" fontId="14" fillId="6" borderId="0" xfId="0" applyNumberFormat="1" applyFont="1" applyFill="1" applyAlignment="1">
      <alignment horizontal="right"/>
    </xf>
    <xf numFmtId="0" fontId="13" fillId="6" borderId="0" xfId="0" applyFont="1" applyFill="1"/>
    <xf numFmtId="37" fontId="14" fillId="6" borderId="0" xfId="0" applyNumberFormat="1" applyFont="1" applyFill="1"/>
    <xf numFmtId="0" fontId="9" fillId="6" borderId="0" xfId="0" quotePrefix="1" applyFont="1" applyFill="1"/>
    <xf numFmtId="0" fontId="9" fillId="6" borderId="1" xfId="0" applyFont="1" applyFill="1" applyBorder="1"/>
    <xf numFmtId="0" fontId="13" fillId="6" borderId="1" xfId="0" applyFont="1" applyFill="1" applyBorder="1"/>
    <xf numFmtId="37" fontId="9" fillId="6" borderId="1" xfId="0" applyNumberFormat="1" applyFont="1" applyFill="1" applyBorder="1"/>
    <xf numFmtId="0" fontId="13" fillId="6" borderId="5" xfId="0" applyFont="1" applyFill="1" applyBorder="1"/>
    <xf numFmtId="37" fontId="13" fillId="6" borderId="7" xfId="0" applyNumberFormat="1" applyFont="1" applyFill="1" applyBorder="1"/>
    <xf numFmtId="0" fontId="13" fillId="6" borderId="6" xfId="0" applyFont="1" applyFill="1" applyBorder="1"/>
    <xf numFmtId="167" fontId="13" fillId="6" borderId="7" xfId="0" applyNumberFormat="1" applyFont="1" applyFill="1" applyBorder="1"/>
    <xf numFmtId="167" fontId="14" fillId="6" borderId="0" xfId="0" applyNumberFormat="1" applyFont="1" applyFill="1"/>
    <xf numFmtId="0" fontId="9" fillId="6" borderId="6" xfId="0" applyFont="1" applyFill="1" applyBorder="1"/>
    <xf numFmtId="180" fontId="13" fillId="6" borderId="7" xfId="0" applyNumberFormat="1" applyFont="1" applyFill="1" applyBorder="1"/>
    <xf numFmtId="37" fontId="14" fillId="0" borderId="0" xfId="0" applyNumberFormat="1" applyFont="1" applyFill="1"/>
    <xf numFmtId="164" fontId="3" fillId="6" borderId="22" xfId="1" applyNumberFormat="1" applyFont="1" applyFill="1" applyBorder="1" applyAlignment="1">
      <alignment horizontal="center"/>
    </xf>
    <xf numFmtId="177" fontId="15" fillId="3" borderId="22" xfId="1" applyNumberFormat="1" applyFont="1" applyFill="1" applyBorder="1" applyAlignment="1">
      <alignment horizontal="center"/>
    </xf>
    <xf numFmtId="0" fontId="19" fillId="9" borderId="8" xfId="1" applyFont="1" applyFill="1" applyBorder="1"/>
    <xf numFmtId="0" fontId="20" fillId="9" borderId="0" xfId="1" applyFont="1" applyFill="1" applyBorder="1"/>
    <xf numFmtId="173" fontId="19" fillId="9" borderId="0" xfId="1" applyNumberFormat="1" applyFont="1" applyFill="1" applyBorder="1" applyAlignment="1">
      <alignment horizontal="center"/>
    </xf>
    <xf numFmtId="169" fontId="19" fillId="9" borderId="0" xfId="1" applyNumberFormat="1" applyFont="1" applyFill="1" applyBorder="1" applyAlignment="1">
      <alignment horizontal="center"/>
    </xf>
    <xf numFmtId="177" fontId="19" fillId="9" borderId="0" xfId="1" applyNumberFormat="1" applyFont="1" applyFill="1" applyBorder="1" applyAlignment="1">
      <alignment horizontal="center"/>
    </xf>
    <xf numFmtId="177" fontId="19" fillId="9" borderId="9" xfId="1" applyNumberFormat="1" applyFont="1" applyFill="1" applyBorder="1" applyAlignment="1">
      <alignment horizontal="center"/>
    </xf>
    <xf numFmtId="0" fontId="3" fillId="0" borderId="18" xfId="1" applyFont="1" applyFill="1" applyBorder="1"/>
    <xf numFmtId="0" fontId="3" fillId="0" borderId="22" xfId="1" applyFont="1" applyFill="1" applyBorder="1"/>
    <xf numFmtId="0" fontId="3" fillId="0" borderId="17" xfId="1" applyFont="1" applyFill="1" applyBorder="1"/>
    <xf numFmtId="177" fontId="3" fillId="3" borderId="0" xfId="1" applyNumberFormat="1" applyFont="1" applyFill="1"/>
    <xf numFmtId="10" fontId="15" fillId="0" borderId="0" xfId="1" applyNumberFormat="1" applyFont="1" applyFill="1"/>
    <xf numFmtId="0" fontId="0" fillId="6" borderId="0" xfId="0" applyFill="1"/>
    <xf numFmtId="38" fontId="3" fillId="6" borderId="0" xfId="1" applyNumberFormat="1" applyFont="1" applyFill="1"/>
    <xf numFmtId="37" fontId="3" fillId="6" borderId="0" xfId="1" applyNumberFormat="1" applyFont="1" applyFill="1"/>
    <xf numFmtId="0" fontId="2" fillId="6" borderId="0" xfId="0" applyFont="1" applyFill="1" applyBorder="1" applyAlignment="1"/>
    <xf numFmtId="165" fontId="3" fillId="6" borderId="0" xfId="0" applyNumberFormat="1" applyFont="1" applyFill="1" applyAlignment="1"/>
    <xf numFmtId="0" fontId="2" fillId="6" borderId="0" xfId="0" applyFont="1" applyFill="1" applyBorder="1" applyAlignment="1">
      <alignment wrapText="1"/>
    </xf>
    <xf numFmtId="167" fontId="2" fillId="6" borderId="0" xfId="0" applyNumberFormat="1" applyFont="1" applyFill="1" applyBorder="1" applyAlignment="1">
      <alignment horizontal="right" wrapText="1"/>
    </xf>
    <xf numFmtId="165" fontId="6" fillId="6" borderId="0" xfId="0" applyNumberFormat="1" applyFont="1" applyFill="1" applyAlignment="1">
      <alignment horizontal="right" wrapText="1"/>
    </xf>
    <xf numFmtId="172" fontId="4" fillId="6" borderId="0" xfId="0" applyNumberFormat="1" applyFont="1" applyFill="1" applyAlignment="1">
      <alignment horizontal="right" wrapText="1"/>
    </xf>
    <xf numFmtId="0" fontId="2" fillId="6" borderId="0" xfId="0" applyFont="1" applyFill="1" applyAlignment="1"/>
    <xf numFmtId="0" fontId="3" fillId="6" borderId="0" xfId="0" applyFont="1" applyFill="1" applyAlignment="1"/>
    <xf numFmtId="172" fontId="4" fillId="6" borderId="0" xfId="0" applyNumberFormat="1" applyFont="1" applyFill="1" applyAlignment="1">
      <alignment wrapText="1"/>
    </xf>
    <xf numFmtId="9" fontId="7" fillId="6" borderId="0" xfId="0" applyNumberFormat="1" applyFont="1" applyFill="1" applyAlignment="1">
      <alignment wrapText="1"/>
    </xf>
    <xf numFmtId="172" fontId="4" fillId="6" borderId="1" xfId="0" applyNumberFormat="1" applyFont="1" applyFill="1" applyBorder="1" applyAlignment="1">
      <alignment wrapText="1"/>
    </xf>
    <xf numFmtId="0" fontId="4" fillId="6" borderId="0" xfId="0" applyFont="1" applyFill="1" applyAlignment="1"/>
    <xf numFmtId="172" fontId="4" fillId="6" borderId="0" xfId="0" applyNumberFormat="1" applyFont="1" applyFill="1" applyBorder="1" applyAlignment="1">
      <alignment wrapText="1"/>
    </xf>
    <xf numFmtId="165" fontId="6" fillId="6" borderId="0" xfId="0" applyNumberFormat="1" applyFont="1" applyFill="1" applyBorder="1" applyAlignment="1">
      <alignment horizontal="right" wrapText="1"/>
    </xf>
    <xf numFmtId="165" fontId="6" fillId="6" borderId="1" xfId="0" applyNumberFormat="1" applyFont="1" applyFill="1" applyBorder="1" applyAlignment="1">
      <alignment horizontal="right" wrapText="1"/>
    </xf>
    <xf numFmtId="167" fontId="6" fillId="6" borderId="1" xfId="0" applyNumberFormat="1" applyFont="1" applyFill="1" applyBorder="1" applyAlignment="1">
      <alignment horizontal="right" wrapText="1"/>
    </xf>
    <xf numFmtId="165" fontId="2" fillId="6" borderId="0" xfId="0" applyNumberFormat="1" applyFont="1" applyFill="1" applyBorder="1" applyAlignment="1">
      <alignment horizontal="right" wrapText="1"/>
    </xf>
    <xf numFmtId="0" fontId="3" fillId="6" borderId="0" xfId="0" applyFont="1" applyFill="1" applyBorder="1" applyAlignment="1"/>
    <xf numFmtId="40" fontId="3" fillId="6" borderId="0" xfId="0" applyNumberFormat="1" applyFont="1" applyFill="1" applyBorder="1" applyAlignment="1">
      <alignment horizontal="right" wrapText="1"/>
    </xf>
    <xf numFmtId="0" fontId="3" fillId="6" borderId="1" xfId="0" applyFont="1" applyFill="1" applyBorder="1" applyAlignment="1"/>
    <xf numFmtId="167" fontId="2" fillId="6" borderId="0" xfId="0" applyNumberFormat="1" applyFont="1" applyFill="1" applyAlignment="1">
      <alignment horizontal="right"/>
    </xf>
    <xf numFmtId="167" fontId="3" fillId="6" borderId="0" xfId="0" applyNumberFormat="1" applyFont="1" applyFill="1" applyAlignment="1"/>
    <xf numFmtId="167" fontId="3" fillId="6" borderId="0" xfId="0" applyNumberFormat="1" applyFont="1" applyFill="1" applyAlignment="1">
      <alignment horizontal="right"/>
    </xf>
    <xf numFmtId="167" fontId="6" fillId="6" borderId="0" xfId="0" applyNumberFormat="1" applyFont="1" applyFill="1" applyAlignment="1">
      <alignment horizontal="right"/>
    </xf>
    <xf numFmtId="167" fontId="2" fillId="6" borderId="6" xfId="0" applyNumberFormat="1" applyFont="1" applyFill="1" applyBorder="1" applyAlignment="1">
      <alignment horizontal="right"/>
    </xf>
    <xf numFmtId="167" fontId="2" fillId="6" borderId="0" xfId="0" applyNumberFormat="1" applyFont="1" applyFill="1" applyBorder="1" applyAlignment="1">
      <alignment horizontal="right"/>
    </xf>
    <xf numFmtId="167" fontId="2" fillId="6" borderId="0" xfId="0" applyNumberFormat="1" applyFont="1" applyFill="1" applyAlignment="1"/>
    <xf numFmtId="167" fontId="6" fillId="6" borderId="1" xfId="0" applyNumberFormat="1" applyFont="1" applyFill="1" applyBorder="1" applyAlignment="1">
      <alignment horizontal="right"/>
    </xf>
    <xf numFmtId="167" fontId="22" fillId="6" borderId="0" xfId="0" applyNumberFormat="1" applyFont="1" applyFill="1" applyBorder="1" applyAlignment="1">
      <alignment horizontal="right"/>
    </xf>
    <xf numFmtId="167" fontId="3" fillId="6" borderId="0" xfId="0" applyNumberFormat="1" applyFont="1" applyFill="1" applyBorder="1" applyAlignment="1">
      <alignment horizontal="right"/>
    </xf>
    <xf numFmtId="0" fontId="2" fillId="6" borderId="2" xfId="0" applyFont="1" applyFill="1" applyBorder="1" applyAlignment="1"/>
    <xf numFmtId="167" fontId="3" fillId="6" borderId="1" xfId="0" applyNumberFormat="1" applyFont="1" applyFill="1" applyBorder="1" applyAlignment="1">
      <alignment horizontal="right"/>
    </xf>
    <xf numFmtId="167" fontId="2" fillId="6" borderId="27" xfId="0" applyNumberFormat="1" applyFont="1" applyFill="1" applyBorder="1" applyAlignment="1">
      <alignment horizontal="right"/>
    </xf>
    <xf numFmtId="0" fontId="2" fillId="6" borderId="1" xfId="0" applyFont="1" applyFill="1" applyBorder="1" applyAlignment="1"/>
    <xf numFmtId="165" fontId="2" fillId="6" borderId="1" xfId="0" applyNumberFormat="1" applyFont="1" applyFill="1" applyBorder="1" applyAlignment="1">
      <alignment horizontal="center"/>
    </xf>
    <xf numFmtId="169" fontId="5" fillId="6" borderId="0" xfId="0" applyNumberFormat="1" applyFont="1" applyFill="1" applyBorder="1" applyAlignment="1"/>
    <xf numFmtId="169" fontId="8" fillId="6" borderId="0" xfId="0" applyNumberFormat="1" applyFont="1" applyFill="1" applyBorder="1" applyAlignment="1"/>
    <xf numFmtId="169" fontId="2" fillId="6" borderId="0" xfId="0" applyNumberFormat="1" applyFont="1" applyFill="1" applyBorder="1" applyAlignment="1"/>
    <xf numFmtId="4" fontId="2" fillId="6" borderId="0" xfId="0" applyNumberFormat="1" applyFont="1" applyFill="1" applyBorder="1" applyAlignment="1"/>
    <xf numFmtId="4" fontId="2" fillId="6" borderId="0" xfId="0" applyNumberFormat="1" applyFont="1" applyFill="1" applyAlignment="1">
      <alignment horizontal="right"/>
    </xf>
    <xf numFmtId="3" fontId="5" fillId="6" borderId="0" xfId="0" applyNumberFormat="1" applyFont="1" applyFill="1" applyBorder="1" applyAlignment="1"/>
    <xf numFmtId="0" fontId="3" fillId="6" borderId="0" xfId="0" applyFont="1" applyFill="1" applyBorder="1" applyAlignment="1">
      <alignment horizontal="left"/>
    </xf>
    <xf numFmtId="170" fontId="3" fillId="6" borderId="0" xfId="0" applyNumberFormat="1" applyFont="1" applyFill="1" applyBorder="1" applyAlignment="1"/>
    <xf numFmtId="0" fontId="3" fillId="6" borderId="0" xfId="0" applyFont="1" applyFill="1" applyAlignment="1">
      <alignment horizontal="left"/>
    </xf>
    <xf numFmtId="169" fontId="6" fillId="6" borderId="0" xfId="0" applyNumberFormat="1" applyFont="1" applyFill="1" applyAlignment="1">
      <alignment horizontal="right"/>
    </xf>
    <xf numFmtId="169" fontId="3" fillId="6" borderId="0" xfId="0" applyNumberFormat="1" applyFont="1" applyFill="1" applyAlignment="1">
      <alignment horizontal="right"/>
    </xf>
    <xf numFmtId="169" fontId="2" fillId="6" borderId="0" xfId="0" applyNumberFormat="1" applyFont="1" applyFill="1" applyAlignment="1">
      <alignment horizontal="right"/>
    </xf>
    <xf numFmtId="169" fontId="6" fillId="6" borderId="0" xfId="0" applyNumberFormat="1" applyFont="1" applyFill="1" applyBorder="1" applyAlignment="1">
      <alignment horizontal="right"/>
    </xf>
    <xf numFmtId="169" fontId="3" fillId="6" borderId="0" xfId="0" applyNumberFormat="1" applyFont="1" applyFill="1" applyBorder="1" applyAlignment="1">
      <alignment horizontal="right"/>
    </xf>
    <xf numFmtId="169" fontId="3" fillId="6" borderId="1" xfId="0" applyNumberFormat="1" applyFont="1" applyFill="1" applyBorder="1" applyAlignment="1">
      <alignment horizontal="right"/>
    </xf>
    <xf numFmtId="167" fontId="2" fillId="6" borderId="1" xfId="0" applyNumberFormat="1" applyFont="1" applyFill="1" applyBorder="1" applyAlignment="1">
      <alignment horizontal="right"/>
    </xf>
    <xf numFmtId="169" fontId="6" fillId="6" borderId="0" xfId="0" applyNumberFormat="1" applyFont="1" applyFill="1" applyBorder="1" applyAlignment="1"/>
    <xf numFmtId="169" fontId="3" fillId="6" borderId="0" xfId="0" applyNumberFormat="1" applyFont="1" applyFill="1" applyBorder="1" applyAlignment="1"/>
    <xf numFmtId="0" fontId="4" fillId="6" borderId="0" xfId="0" applyFont="1" applyFill="1" applyAlignment="1">
      <alignment horizontal="left"/>
    </xf>
    <xf numFmtId="171" fontId="4" fillId="6" borderId="0" xfId="0" applyNumberFormat="1" applyFont="1" applyFill="1" applyBorder="1" applyAlignment="1"/>
    <xf numFmtId="171" fontId="7" fillId="6" borderId="0" xfId="0" applyNumberFormat="1" applyFont="1" applyFill="1" applyBorder="1" applyAlignment="1"/>
    <xf numFmtId="0" fontId="2" fillId="6" borderId="0" xfId="0" applyFont="1" applyFill="1" applyAlignment="1">
      <alignment horizontal="left"/>
    </xf>
    <xf numFmtId="0" fontId="4" fillId="6" borderId="0" xfId="0" applyFont="1" applyFill="1" applyAlignment="1">
      <alignment horizontal="left" indent="1"/>
    </xf>
    <xf numFmtId="0" fontId="3" fillId="6" borderId="0" xfId="0" applyFont="1" applyFill="1" applyBorder="1" applyAlignment="1">
      <alignment horizontal="center"/>
    </xf>
    <xf numFmtId="169" fontId="2" fillId="6" borderId="6" xfId="0" applyNumberFormat="1" applyFont="1" applyFill="1" applyBorder="1" applyAlignment="1">
      <alignment horizontal="right"/>
    </xf>
    <xf numFmtId="0" fontId="3" fillId="6" borderId="0" xfId="0" applyFont="1" applyFill="1" applyAlignment="1">
      <alignment horizontal="center"/>
    </xf>
    <xf numFmtId="0" fontId="2" fillId="6" borderId="0" xfId="0" applyFont="1" applyFill="1" applyBorder="1" applyAlignment="1">
      <alignment horizontal="center"/>
    </xf>
    <xf numFmtId="175" fontId="2" fillId="6" borderId="0" xfId="0" applyNumberFormat="1" applyFont="1" applyFill="1" applyBorder="1" applyAlignment="1">
      <alignment horizontal="right" wrapText="1"/>
    </xf>
    <xf numFmtId="176" fontId="2" fillId="6" borderId="0" xfId="0" applyNumberFormat="1" applyFont="1" applyFill="1" applyBorder="1" applyAlignment="1">
      <alignment horizontal="right" wrapText="1"/>
    </xf>
    <xf numFmtId="167" fontId="6" fillId="6" borderId="1" xfId="0" applyNumberFormat="1" applyFont="1" applyFill="1" applyBorder="1" applyAlignment="1"/>
    <xf numFmtId="0" fontId="3" fillId="6" borderId="0" xfId="0" applyFont="1" applyFill="1" applyBorder="1" applyAlignment="1">
      <alignment horizontal="right"/>
    </xf>
    <xf numFmtId="0" fontId="3" fillId="6" borderId="0" xfId="0" applyFont="1" applyFill="1" applyAlignment="1">
      <alignment horizontal="right"/>
    </xf>
    <xf numFmtId="0" fontId="3" fillId="6" borderId="0" xfId="0" applyFont="1" applyFill="1" applyBorder="1"/>
    <xf numFmtId="0" fontId="3" fillId="6" borderId="0" xfId="0" quotePrefix="1" applyFont="1" applyFill="1" applyAlignment="1"/>
    <xf numFmtId="9" fontId="5" fillId="6" borderId="0" xfId="0" applyNumberFormat="1" applyFont="1" applyFill="1" applyBorder="1" applyAlignment="1">
      <alignment horizontal="right"/>
    </xf>
    <xf numFmtId="9" fontId="4" fillId="6" borderId="0" xfId="0" applyNumberFormat="1" applyFont="1" applyFill="1" applyBorder="1" applyAlignment="1">
      <alignment horizontal="left"/>
    </xf>
    <xf numFmtId="9" fontId="10" fillId="6" borderId="0" xfId="0" applyNumberFormat="1" applyFont="1" applyFill="1" applyAlignment="1">
      <alignment horizontal="right"/>
    </xf>
    <xf numFmtId="9" fontId="10" fillId="6" borderId="0" xfId="0" applyNumberFormat="1" applyFont="1" applyFill="1" applyBorder="1" applyAlignment="1">
      <alignment horizontal="right"/>
    </xf>
    <xf numFmtId="10" fontId="10" fillId="6" borderId="0" xfId="0" applyNumberFormat="1" applyFont="1" applyFill="1" applyBorder="1" applyAlignment="1">
      <alignment horizontal="right"/>
    </xf>
    <xf numFmtId="167" fontId="2" fillId="6" borderId="0" xfId="0" applyNumberFormat="1" applyFont="1" applyFill="1"/>
    <xf numFmtId="167" fontId="3" fillId="6" borderId="6" xfId="0" applyNumberFormat="1" applyFont="1" applyFill="1" applyBorder="1"/>
    <xf numFmtId="165" fontId="2" fillId="6" borderId="0" xfId="0" applyNumberFormat="1" applyFont="1" applyFill="1" applyBorder="1" applyAlignment="1"/>
    <xf numFmtId="165" fontId="2" fillId="6" borderId="0" xfId="0" applyNumberFormat="1" applyFont="1" applyFill="1" applyAlignment="1"/>
    <xf numFmtId="9" fontId="5" fillId="6" borderId="0" xfId="0" applyNumberFormat="1" applyFont="1" applyFill="1" applyBorder="1" applyAlignment="1"/>
    <xf numFmtId="9" fontId="4" fillId="6" borderId="0" xfId="0" applyNumberFormat="1" applyFont="1" applyFill="1" applyBorder="1" applyAlignment="1"/>
    <xf numFmtId="9" fontId="10" fillId="6" borderId="0" xfId="0" applyNumberFormat="1" applyFont="1" applyFill="1" applyAlignment="1"/>
    <xf numFmtId="10" fontId="10" fillId="6" borderId="0" xfId="0" applyNumberFormat="1" applyFont="1" applyFill="1" applyAlignment="1"/>
    <xf numFmtId="172" fontId="4" fillId="6" borderId="0" xfId="0" applyNumberFormat="1" applyFont="1" applyFill="1" applyBorder="1" applyAlignment="1">
      <alignment horizontal="right" wrapText="1"/>
    </xf>
    <xf numFmtId="165" fontId="2" fillId="6" borderId="2" xfId="0" applyNumberFormat="1" applyFont="1" applyFill="1" applyBorder="1" applyAlignment="1">
      <alignment horizontal="right" wrapText="1"/>
    </xf>
    <xf numFmtId="2" fontId="24" fillId="6" borderId="0" xfId="0" applyNumberFormat="1" applyFont="1" applyFill="1" applyBorder="1" applyAlignment="1">
      <alignment horizontal="right" wrapText="1"/>
    </xf>
    <xf numFmtId="171" fontId="24" fillId="6" borderId="0" xfId="0" applyNumberFormat="1" applyFont="1" applyFill="1" applyBorder="1" applyAlignment="1">
      <alignment horizontal="right" wrapText="1"/>
    </xf>
    <xf numFmtId="172" fontId="4" fillId="6" borderId="0" xfId="3" applyNumberFormat="1" applyFont="1" applyFill="1" applyBorder="1" applyAlignment="1">
      <alignment horizontal="right" wrapText="1"/>
    </xf>
    <xf numFmtId="169" fontId="2" fillId="6" borderId="0" xfId="0" applyNumberFormat="1" applyFont="1" applyFill="1" applyAlignment="1">
      <alignment horizontal="right" wrapText="1"/>
    </xf>
    <xf numFmtId="169" fontId="25" fillId="6" borderId="0" xfId="0" applyNumberFormat="1" applyFont="1" applyFill="1" applyAlignment="1">
      <alignment wrapText="1"/>
    </xf>
    <xf numFmtId="0" fontId="13" fillId="6" borderId="0" xfId="0" applyFont="1" applyFill="1" applyAlignment="1"/>
    <xf numFmtId="0" fontId="3" fillId="11" borderId="0" xfId="0" applyFont="1" applyFill="1"/>
    <xf numFmtId="0" fontId="3" fillId="11" borderId="0" xfId="0" applyFont="1" applyFill="1" applyAlignment="1"/>
    <xf numFmtId="0" fontId="2" fillId="11" borderId="0" xfId="0" applyFont="1" applyFill="1" applyAlignment="1"/>
    <xf numFmtId="165" fontId="3" fillId="6" borderId="0" xfId="0" applyNumberFormat="1" applyFont="1" applyFill="1" applyBorder="1" applyAlignment="1"/>
    <xf numFmtId="0" fontId="2" fillId="12" borderId="0" xfId="0" applyFont="1" applyFill="1"/>
    <xf numFmtId="0" fontId="2" fillId="12" borderId="0" xfId="0" applyFont="1" applyFill="1" applyAlignment="1"/>
    <xf numFmtId="0" fontId="3" fillId="12" borderId="0" xfId="0" applyFont="1" applyFill="1" applyAlignment="1"/>
    <xf numFmtId="167" fontId="2" fillId="12" borderId="0" xfId="0" applyNumberFormat="1" applyFont="1" applyFill="1" applyBorder="1" applyAlignment="1">
      <alignment horizontal="right"/>
    </xf>
    <xf numFmtId="0" fontId="3" fillId="12" borderId="0" xfId="0" applyFont="1" applyFill="1"/>
    <xf numFmtId="167" fontId="6" fillId="11" borderId="0" xfId="0" applyNumberFormat="1" applyFont="1" applyFill="1" applyAlignment="1">
      <alignment horizontal="right"/>
    </xf>
    <xf numFmtId="167" fontId="3" fillId="11" borderId="0" xfId="0" applyNumberFormat="1" applyFont="1" applyFill="1" applyAlignment="1">
      <alignment horizontal="right"/>
    </xf>
    <xf numFmtId="167" fontId="6" fillId="6" borderId="0" xfId="0" applyNumberFormat="1" applyFont="1" applyFill="1" applyBorder="1" applyAlignment="1">
      <alignment horizontal="right"/>
    </xf>
    <xf numFmtId="167" fontId="2" fillId="11" borderId="0" xfId="0" applyNumberFormat="1" applyFont="1" applyFill="1" applyBorder="1" applyAlignment="1">
      <alignment horizontal="right"/>
    </xf>
    <xf numFmtId="169" fontId="2" fillId="6" borderId="2" xfId="0" applyNumberFormat="1" applyFont="1" applyFill="1" applyBorder="1" applyAlignment="1">
      <alignment horizontal="right"/>
    </xf>
    <xf numFmtId="169" fontId="3" fillId="0" borderId="1" xfId="0" applyNumberFormat="1" applyFont="1" applyBorder="1" applyAlignment="1"/>
    <xf numFmtId="167" fontId="2" fillId="6" borderId="2" xfId="0" applyNumberFormat="1" applyFont="1" applyFill="1" applyBorder="1" applyAlignment="1">
      <alignment horizontal="right"/>
    </xf>
    <xf numFmtId="165" fontId="2" fillId="2" borderId="1" xfId="0" applyNumberFormat="1" applyFont="1" applyFill="1" applyBorder="1" applyAlignment="1">
      <alignment horizontal="center"/>
    </xf>
    <xf numFmtId="0" fontId="3" fillId="2" borderId="1" xfId="0" applyFont="1" applyFill="1" applyBorder="1" applyAlignment="1">
      <alignment horizontal="center"/>
    </xf>
    <xf numFmtId="0" fontId="2" fillId="2" borderId="1" xfId="0" applyFont="1" applyFill="1" applyBorder="1" applyAlignment="1">
      <alignment horizontal="center"/>
    </xf>
    <xf numFmtId="0" fontId="3" fillId="2" borderId="28" xfId="0" applyFont="1" applyFill="1" applyBorder="1" applyAlignment="1">
      <alignment horizontal="center"/>
    </xf>
    <xf numFmtId="165" fontId="2" fillId="2" borderId="29" xfId="0" applyNumberFormat="1" applyFont="1" applyFill="1" applyBorder="1" applyAlignment="1">
      <alignment horizontal="center"/>
    </xf>
    <xf numFmtId="165" fontId="13" fillId="2" borderId="1" xfId="0" applyNumberFormat="1" applyFont="1" applyFill="1" applyBorder="1" applyAlignment="1">
      <alignment horizontal="center"/>
    </xf>
    <xf numFmtId="0" fontId="13" fillId="2" borderId="1" xfId="0" applyFont="1" applyFill="1" applyBorder="1" applyAlignment="1">
      <alignment horizontal="centerContinuous"/>
    </xf>
    <xf numFmtId="0" fontId="2" fillId="2" borderId="30" xfId="0" applyFont="1" applyFill="1" applyBorder="1"/>
    <xf numFmtId="0" fontId="2" fillId="2" borderId="29" xfId="0" applyFont="1" applyFill="1" applyBorder="1"/>
    <xf numFmtId="0" fontId="3" fillId="11" borderId="0" xfId="0" applyFont="1" applyFill="1" applyBorder="1"/>
    <xf numFmtId="0" fontId="2" fillId="2" borderId="28" xfId="0" applyFont="1" applyFill="1" applyBorder="1" applyAlignment="1">
      <alignment horizontal="center"/>
    </xf>
    <xf numFmtId="0" fontId="2" fillId="2" borderId="31" xfId="0" applyFont="1" applyFill="1" applyBorder="1" applyAlignment="1">
      <alignment horizontal="center"/>
    </xf>
    <xf numFmtId="169" fontId="3" fillId="6" borderId="30" xfId="0" applyNumberFormat="1" applyFont="1" applyFill="1" applyBorder="1" applyAlignment="1">
      <alignment horizontal="right" wrapText="1"/>
    </xf>
    <xf numFmtId="169" fontId="2" fillId="6" borderId="0" xfId="0" applyNumberFormat="1" applyFont="1" applyFill="1" applyAlignment="1">
      <alignment wrapText="1"/>
    </xf>
    <xf numFmtId="9" fontId="4" fillId="6" borderId="0" xfId="3" applyFont="1" applyFill="1" applyAlignment="1">
      <alignment horizontal="right" wrapText="1"/>
    </xf>
    <xf numFmtId="169" fontId="2" fillId="6" borderId="30" xfId="0" applyNumberFormat="1" applyFont="1" applyFill="1" applyBorder="1" applyAlignment="1">
      <alignment horizontal="right" wrapText="1"/>
    </xf>
    <xf numFmtId="38" fontId="6" fillId="6" borderId="0" xfId="0" applyNumberFormat="1" applyFont="1" applyFill="1" applyAlignment="1">
      <alignment horizontal="right" wrapText="1"/>
    </xf>
    <xf numFmtId="38" fontId="6" fillId="6" borderId="1" xfId="0" applyNumberFormat="1" applyFont="1" applyFill="1" applyBorder="1" applyAlignment="1">
      <alignment horizontal="right" wrapText="1"/>
    </xf>
    <xf numFmtId="165" fontId="5" fillId="6" borderId="2" xfId="0" applyNumberFormat="1" applyFont="1" applyFill="1" applyBorder="1" applyAlignment="1">
      <alignment horizontal="right" wrapText="1"/>
    </xf>
    <xf numFmtId="172" fontId="7" fillId="6" borderId="0" xfId="3" applyNumberFormat="1" applyFont="1" applyFill="1" applyAlignment="1">
      <alignment horizontal="right" wrapText="1"/>
    </xf>
    <xf numFmtId="169" fontId="3" fillId="6" borderId="0" xfId="0" applyNumberFormat="1" applyFont="1" applyFill="1" applyBorder="1" applyAlignment="1">
      <alignment horizontal="right" wrapText="1"/>
    </xf>
    <xf numFmtId="0" fontId="2" fillId="13" borderId="0" xfId="0" applyFont="1" applyFill="1" applyAlignment="1"/>
    <xf numFmtId="0" fontId="3" fillId="13" borderId="0" xfId="0" applyFont="1" applyFill="1" applyAlignment="1"/>
    <xf numFmtId="0" fontId="3" fillId="13" borderId="0" xfId="0" applyFont="1" applyFill="1" applyAlignment="1">
      <alignment wrapText="1"/>
    </xf>
    <xf numFmtId="165" fontId="15" fillId="13" borderId="0" xfId="0" applyNumberFormat="1" applyFont="1" applyFill="1" applyAlignment="1">
      <alignment horizontal="right" wrapText="1"/>
    </xf>
    <xf numFmtId="0" fontId="3" fillId="13" borderId="0" xfId="0" applyFont="1" applyFill="1"/>
    <xf numFmtId="172" fontId="7" fillId="6" borderId="1" xfId="3" applyNumberFormat="1" applyFont="1" applyFill="1" applyBorder="1" applyAlignment="1">
      <alignment horizontal="right" wrapText="1"/>
    </xf>
    <xf numFmtId="165" fontId="3" fillId="13" borderId="0" xfId="0" applyNumberFormat="1" applyFont="1" applyFill="1" applyAlignment="1">
      <alignment wrapText="1"/>
    </xf>
    <xf numFmtId="38" fontId="3" fillId="6" borderId="0" xfId="0" applyNumberFormat="1" applyFont="1" applyFill="1"/>
    <xf numFmtId="9" fontId="4" fillId="6" borderId="0" xfId="3" applyFont="1" applyFill="1" applyAlignment="1">
      <alignment horizontal="right"/>
    </xf>
    <xf numFmtId="0" fontId="26" fillId="6" borderId="0" xfId="0" applyFont="1" applyFill="1" applyAlignment="1"/>
    <xf numFmtId="167" fontId="21" fillId="6" borderId="0" xfId="0" applyNumberFormat="1" applyFont="1" applyFill="1" applyAlignment="1">
      <alignment horizontal="right"/>
    </xf>
    <xf numFmtId="167" fontId="21" fillId="6" borderId="0" xfId="0" applyNumberFormat="1" applyFont="1" applyFill="1" applyBorder="1" applyAlignment="1">
      <alignment horizontal="right"/>
    </xf>
    <xf numFmtId="0" fontId="13" fillId="12" borderId="0" xfId="0" applyFont="1" applyFill="1"/>
    <xf numFmtId="167" fontId="3" fillId="11" borderId="0" xfId="0" applyNumberFormat="1" applyFont="1" applyFill="1" applyBorder="1"/>
    <xf numFmtId="172" fontId="4" fillId="6" borderId="0" xfId="3" applyNumberFormat="1" applyFont="1" applyFill="1" applyAlignment="1">
      <alignment horizontal="right"/>
    </xf>
    <xf numFmtId="167" fontId="3" fillId="0" borderId="0" xfId="0" applyNumberFormat="1" applyFont="1" applyFill="1" applyBorder="1"/>
    <xf numFmtId="167" fontId="5" fillId="6" borderId="0" xfId="0" applyNumberFormat="1" applyFont="1" applyFill="1" applyAlignment="1">
      <alignment horizontal="right"/>
    </xf>
    <xf numFmtId="0" fontId="3" fillId="14" borderId="0" xfId="0" applyFont="1" applyFill="1" applyAlignment="1"/>
    <xf numFmtId="167" fontId="6" fillId="14" borderId="0" xfId="0" applyNumberFormat="1" applyFont="1" applyFill="1" applyAlignment="1">
      <alignment horizontal="right"/>
    </xf>
    <xf numFmtId="0" fontId="3" fillId="14" borderId="0" xfId="0" applyFont="1" applyFill="1"/>
    <xf numFmtId="0" fontId="3" fillId="2" borderId="4" xfId="0" applyFont="1" applyFill="1" applyBorder="1" applyAlignment="1">
      <alignment horizontal="center"/>
    </xf>
    <xf numFmtId="0" fontId="9" fillId="13" borderId="0" xfId="0" applyFont="1" applyFill="1" applyAlignment="1"/>
    <xf numFmtId="167" fontId="2" fillId="13" borderId="0" xfId="0" applyNumberFormat="1" applyFont="1" applyFill="1" applyAlignment="1">
      <alignment horizontal="right"/>
    </xf>
    <xf numFmtId="9" fontId="4" fillId="6" borderId="0" xfId="3" applyFont="1" applyFill="1" applyBorder="1" applyAlignment="1">
      <alignment horizontal="right" wrapText="1"/>
    </xf>
    <xf numFmtId="0" fontId="2" fillId="15" borderId="0" xfId="0" applyFont="1" applyFill="1" applyBorder="1" applyAlignment="1"/>
    <xf numFmtId="0" fontId="3" fillId="15" borderId="0" xfId="0" applyFont="1" applyFill="1" applyAlignment="1"/>
    <xf numFmtId="0" fontId="4" fillId="15" borderId="0" xfId="0" applyFont="1" applyFill="1" applyAlignment="1">
      <alignment horizontal="left"/>
    </xf>
    <xf numFmtId="169" fontId="6" fillId="15" borderId="0" xfId="0" applyNumberFormat="1" applyFont="1" applyFill="1" applyBorder="1" applyAlignment="1"/>
    <xf numFmtId="169" fontId="3" fillId="15" borderId="0" xfId="0" applyNumberFormat="1" applyFont="1" applyFill="1" applyBorder="1" applyAlignment="1"/>
    <xf numFmtId="0" fontId="4" fillId="15" borderId="0" xfId="0" applyFont="1" applyFill="1" applyAlignment="1">
      <alignment horizontal="left" indent="1"/>
    </xf>
    <xf numFmtId="169" fontId="6" fillId="15" borderId="0" xfId="0" applyNumberFormat="1" applyFont="1" applyFill="1" applyBorder="1" applyAlignment="1">
      <alignment horizontal="right"/>
    </xf>
    <xf numFmtId="171" fontId="4" fillId="15" borderId="0" xfId="0" applyNumberFormat="1" applyFont="1" applyFill="1" applyBorder="1" applyAlignment="1"/>
    <xf numFmtId="171" fontId="7" fillId="15" borderId="0" xfId="0" applyNumberFormat="1" applyFont="1" applyFill="1" applyBorder="1" applyAlignment="1"/>
    <xf numFmtId="0" fontId="3" fillId="15" borderId="0" xfId="0" applyFont="1" applyFill="1"/>
    <xf numFmtId="167" fontId="6" fillId="15" borderId="0" xfId="0" applyNumberFormat="1" applyFont="1" applyFill="1" applyAlignment="1">
      <alignment horizontal="right"/>
    </xf>
    <xf numFmtId="167" fontId="3" fillId="15" borderId="0" xfId="0" applyNumberFormat="1" applyFont="1" applyFill="1" applyAlignment="1">
      <alignment horizontal="right"/>
    </xf>
    <xf numFmtId="0" fontId="3" fillId="16" borderId="0" xfId="0" applyFont="1" applyFill="1"/>
    <xf numFmtId="167" fontId="3" fillId="0" borderId="0" xfId="0" applyNumberFormat="1" applyFont="1" applyFill="1" applyAlignment="1"/>
    <xf numFmtId="169" fontId="3" fillId="0" borderId="0" xfId="0" applyNumberFormat="1" applyFont="1" applyFill="1" applyAlignment="1"/>
    <xf numFmtId="167" fontId="3" fillId="11" borderId="0" xfId="0" applyNumberFormat="1" applyFont="1" applyFill="1" applyAlignment="1"/>
    <xf numFmtId="169" fontId="3" fillId="11" borderId="0" xfId="0" applyNumberFormat="1" applyFont="1" applyFill="1" applyAlignment="1"/>
    <xf numFmtId="10" fontId="4" fillId="6" borderId="0" xfId="3" applyNumberFormat="1" applyFont="1" applyFill="1"/>
    <xf numFmtId="169" fontId="3" fillId="13" borderId="0" xfId="0" applyNumberFormat="1" applyFont="1" applyFill="1"/>
    <xf numFmtId="167" fontId="3" fillId="14" borderId="0" xfId="0" applyNumberFormat="1" applyFont="1" applyFill="1"/>
    <xf numFmtId="10" fontId="7" fillId="6" borderId="0" xfId="0" applyNumberFormat="1" applyFont="1" applyFill="1" applyBorder="1" applyAlignment="1">
      <alignment horizontal="right"/>
    </xf>
    <xf numFmtId="165" fontId="2" fillId="17" borderId="0" xfId="0" applyNumberFormat="1" applyFont="1" applyFill="1" applyBorder="1" applyAlignment="1"/>
    <xf numFmtId="0" fontId="3" fillId="0" borderId="1" xfId="0" applyFont="1" applyBorder="1" applyAlignment="1">
      <alignment horizontal="center"/>
    </xf>
    <xf numFmtId="165" fontId="2" fillId="2" borderId="14" xfId="1" applyNumberFormat="1" applyFont="1" applyFill="1" applyBorder="1" applyAlignment="1">
      <alignment horizontal="left" wrapText="1"/>
    </xf>
    <xf numFmtId="0" fontId="3" fillId="0" borderId="14" xfId="1" applyFont="1" applyBorder="1" applyAlignment="1">
      <alignment horizontal="left" wrapText="1"/>
    </xf>
    <xf numFmtId="0" fontId="3" fillId="0" borderId="15" xfId="1" applyFont="1" applyBorder="1" applyAlignment="1">
      <alignment horizontal="left" wrapText="1"/>
    </xf>
    <xf numFmtId="165" fontId="2" fillId="2" borderId="14" xfId="1" applyNumberFormat="1" applyFont="1" applyFill="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wrapText="1"/>
    </xf>
    <xf numFmtId="0" fontId="9" fillId="10" borderId="5" xfId="0" applyFont="1" applyFill="1" applyBorder="1" applyAlignment="1">
      <alignment horizontal="center" vertical="center" wrapText="1"/>
    </xf>
    <xf numFmtId="0" fontId="0" fillId="0" borderId="6" xfId="0" applyBorder="1"/>
    <xf numFmtId="0" fontId="0" fillId="0" borderId="7" xfId="0" applyBorder="1"/>
    <xf numFmtId="164" fontId="2" fillId="12" borderId="1" xfId="1" applyNumberFormat="1" applyFont="1" applyFill="1" applyBorder="1"/>
    <xf numFmtId="172" fontId="6" fillId="6" borderId="10" xfId="2" applyNumberFormat="1" applyFont="1" applyFill="1" applyBorder="1"/>
    <xf numFmtId="164" fontId="2" fillId="12" borderId="3" xfId="1" applyNumberFormat="1" applyFont="1" applyFill="1" applyBorder="1"/>
  </cellXfs>
  <cellStyles count="4">
    <cellStyle name="Normal" xfId="0" builtinId="0"/>
    <cellStyle name="Normal 2" xfId="1" xr:uid="{00000000-0005-0000-0000-000001000000}"/>
    <cellStyle name="Normal_DCF analysis" xfId="2" xr:uid="{00000000-0005-0000-0000-000002000000}"/>
    <cellStyle name="Percent" xfId="3" builtinId="5"/>
  </cellStyles>
  <dxfs count="0"/>
  <tableStyles count="0" defaultTableStyle="TableStyleMedium9" defaultPivotStyle="PivotStyleLight16"/>
  <colors>
    <mruColors>
      <color rgb="FFFF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4a967a8b081a091/Amazon/Final%20Web%20Documents/NYSF_Walmart_9_21_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tatement"/>
      <sheetName val="Cash Flow Statement"/>
      <sheetName val="Balance Sheet"/>
      <sheetName val="Depreciation"/>
      <sheetName val="Operating Working Capital"/>
      <sheetName val="Debt Schedule"/>
      <sheetName val="---&gt; Valuation"/>
      <sheetName val="DCF Analysis"/>
      <sheetName val="Comparable Companies"/>
      <sheetName val="Costco Comp"/>
      <sheetName val="Wal-Mart Comp"/>
      <sheetName val="Target Comp"/>
      <sheetName val="Dollar General"/>
      <sheetName val="Dollar Tree"/>
      <sheetName val="Family Dollar Store"/>
      <sheetName val="Precedent Transactions"/>
      <sheetName val="A&amp;P - Pathmark"/>
      <sheetName val="WFM - Wild Oats"/>
      <sheetName val="Football fie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54">
          <cell r="L54">
            <v>1000</v>
          </cell>
        </row>
      </sheetData>
      <sheetData sheetId="18" refreshError="1"/>
    </sheetDataSet>
  </externalBook>
</externalLink>
</file>

<file path=xl/persons/person.xml><?xml version="1.0" encoding="utf-8"?>
<personList xmlns="http://schemas.microsoft.com/office/spreadsheetml/2018/threadedcomments" xmlns:x="http://schemas.openxmlformats.org/spreadsheetml/2006/main">
  <person displayName="Mohamed Kimouche" id="{37C6B1BE-D105-4B75-B80C-0ED5FAEF830B}" userId="S::ldymk18@nottingham.ac.uk::6de6ba7c-0a7e-464c-804f-8161d94fcd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35" dT="2026-02-05T23:11:10.26" personId="{37C6B1BE-D105-4B75-B80C-0ED5FAEF830B}" id="{13226D40-6DEB-495A-A2DA-C1134FA1D71A}">
    <text>Average of guidance given in 10-K 2020, p33.</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9"/>
  <sheetViews>
    <sheetView zoomScale="90" zoomScaleNormal="90" workbookViewId="0">
      <pane xSplit="3" ySplit="5" topLeftCell="G35" activePane="bottomRight" state="frozen"/>
      <selection activeCell="C5" sqref="C5"/>
      <selection pane="topRight" activeCell="C5" sqref="C5"/>
      <selection pane="bottomLeft" activeCell="C5" sqref="C5"/>
      <selection pane="bottomRight" activeCell="P19" sqref="P19"/>
    </sheetView>
  </sheetViews>
  <sheetFormatPr defaultRowHeight="20.100000000000001" customHeight="1" x14ac:dyDescent="0.2"/>
  <cols>
    <col min="1" max="1" width="2.7109375" style="49" customWidth="1"/>
    <col min="2" max="2" width="2.7109375" style="2" customWidth="1"/>
    <col min="3" max="3" width="74.85546875" style="2" customWidth="1"/>
    <col min="4" max="4" width="10" style="3" bestFit="1" customWidth="1"/>
    <col min="5" max="5" width="11.7109375" style="3" bestFit="1" customWidth="1"/>
    <col min="6" max="6" width="11.140625" style="49" bestFit="1" customWidth="1"/>
    <col min="7" max="7" width="9.7109375" style="2" customWidth="1"/>
    <col min="8" max="8" width="9.28515625" style="49" bestFit="1" customWidth="1"/>
    <col min="9" max="11" width="9.7109375" style="49" customWidth="1"/>
    <col min="12" max="16384" width="9.140625" style="49"/>
  </cols>
  <sheetData>
    <row r="1" spans="1:17" ht="29.65" customHeight="1" x14ac:dyDescent="0.2">
      <c r="B1" s="32"/>
      <c r="C1" s="32"/>
      <c r="D1" s="33"/>
      <c r="E1" s="33"/>
      <c r="F1" s="51"/>
      <c r="G1" s="32"/>
      <c r="H1" s="51"/>
      <c r="I1" s="51"/>
      <c r="J1" s="51"/>
      <c r="K1" s="51"/>
    </row>
    <row r="2" spans="1:17" ht="12.75" customHeight="1" x14ac:dyDescent="0.2">
      <c r="A2" s="30" t="s">
        <v>14</v>
      </c>
      <c r="B2" s="40"/>
      <c r="C2" s="30"/>
      <c r="D2" s="31"/>
      <c r="E2" s="31"/>
      <c r="F2" s="34"/>
      <c r="G2" s="30"/>
      <c r="H2" s="34"/>
      <c r="I2" s="34"/>
      <c r="J2" s="34"/>
      <c r="K2" s="34"/>
      <c r="L2" s="34"/>
      <c r="M2" s="34"/>
      <c r="N2" s="34"/>
      <c r="O2" s="34"/>
      <c r="P2" s="34"/>
      <c r="Q2" s="34"/>
    </row>
    <row r="3" spans="1:17" ht="12.75" customHeight="1" x14ac:dyDescent="0.2">
      <c r="A3" s="4" t="s">
        <v>92</v>
      </c>
      <c r="B3" s="6"/>
      <c r="C3" s="5"/>
      <c r="D3" s="386"/>
      <c r="E3" s="386"/>
      <c r="F3" s="390"/>
      <c r="G3" s="386" t="s">
        <v>31</v>
      </c>
      <c r="H3" s="387"/>
      <c r="I3" s="388"/>
      <c r="J3" s="388"/>
      <c r="K3" s="396"/>
      <c r="L3" s="397"/>
      <c r="M3" s="388"/>
      <c r="N3" s="388" t="s">
        <v>32</v>
      </c>
      <c r="O3" s="388"/>
      <c r="P3" s="388"/>
      <c r="Q3" s="388"/>
    </row>
    <row r="4" spans="1:17" ht="12.75" customHeight="1" x14ac:dyDescent="0.2">
      <c r="A4" s="4"/>
      <c r="B4" s="6"/>
      <c r="C4" s="5"/>
      <c r="D4" s="36"/>
      <c r="E4" s="36"/>
      <c r="F4" s="35"/>
      <c r="G4" s="35"/>
      <c r="H4" s="35"/>
      <c r="I4" s="35"/>
      <c r="J4" s="35"/>
      <c r="K4" s="35"/>
      <c r="L4" s="35"/>
      <c r="M4" s="35"/>
      <c r="N4" s="35"/>
      <c r="O4" s="35"/>
      <c r="P4" s="35"/>
      <c r="Q4" s="35"/>
    </row>
    <row r="5" spans="1:17" ht="12.75" customHeight="1" x14ac:dyDescent="0.2">
      <c r="A5" s="37" t="s">
        <v>17</v>
      </c>
      <c r="B5" s="54"/>
      <c r="C5" s="38"/>
      <c r="D5" s="47">
        <v>2018</v>
      </c>
      <c r="E5" s="47">
        <f t="shared" ref="E5:F5" si="0">D5+1</f>
        <v>2019</v>
      </c>
      <c r="F5" s="47">
        <f t="shared" si="0"/>
        <v>2020</v>
      </c>
      <c r="G5" s="47">
        <f t="shared" ref="G5" si="1">F5+1</f>
        <v>2021</v>
      </c>
      <c r="H5" s="47">
        <f t="shared" ref="H5" si="2">G5+1</f>
        <v>2022</v>
      </c>
      <c r="I5" s="47">
        <f t="shared" ref="I5" si="3">H5+1</f>
        <v>2023</v>
      </c>
      <c r="J5" s="47">
        <f t="shared" ref="J5" si="4">I5+1</f>
        <v>2024</v>
      </c>
      <c r="K5" s="47">
        <f t="shared" ref="K5" si="5">J5+1</f>
        <v>2025</v>
      </c>
      <c r="L5" s="48">
        <f t="shared" ref="L5" si="6">K5+1</f>
        <v>2026</v>
      </c>
      <c r="M5" s="48">
        <f t="shared" ref="M5" si="7">L5+1</f>
        <v>2027</v>
      </c>
      <c r="N5" s="48">
        <f t="shared" ref="N5" si="8">M5+1</f>
        <v>2028</v>
      </c>
      <c r="O5" s="48">
        <f t="shared" ref="O5" si="9">N5+1</f>
        <v>2029</v>
      </c>
      <c r="P5" s="48">
        <f t="shared" ref="P5" si="10">O5+1</f>
        <v>2030</v>
      </c>
      <c r="Q5" s="48">
        <f t="shared" ref="Q5" si="11">P5+1</f>
        <v>2031</v>
      </c>
    </row>
    <row r="6" spans="1:17" s="52" customFormat="1" ht="21" customHeight="1" x14ac:dyDescent="0.2">
      <c r="A6" s="280" t="s">
        <v>34</v>
      </c>
      <c r="B6" s="281"/>
      <c r="C6" s="282"/>
      <c r="D6" s="283"/>
      <c r="E6" s="283"/>
      <c r="F6" s="283"/>
      <c r="G6" s="283"/>
      <c r="H6" s="283"/>
      <c r="I6" s="283"/>
      <c r="J6" s="283"/>
      <c r="K6" s="283"/>
    </row>
    <row r="7" spans="1:17" s="52" customFormat="1" ht="12.75" customHeight="1" x14ac:dyDescent="0.2">
      <c r="A7" s="280"/>
      <c r="B7" s="281" t="s">
        <v>214</v>
      </c>
      <c r="C7" s="282"/>
      <c r="D7" s="284">
        <v>17632</v>
      </c>
      <c r="E7" s="284">
        <v>19952</v>
      </c>
      <c r="F7" s="284">
        <v>26184</v>
      </c>
      <c r="G7" s="284">
        <v>44125</v>
      </c>
      <c r="H7" s="284">
        <v>67210</v>
      </c>
      <c r="I7" s="284">
        <v>78509</v>
      </c>
      <c r="J7" s="284">
        <v>72480</v>
      </c>
      <c r="K7" s="284">
        <v>65821</v>
      </c>
    </row>
    <row r="8" spans="1:17" s="52" customFormat="1" ht="12.75" customHeight="1" x14ac:dyDescent="0.2">
      <c r="A8" s="280"/>
      <c r="B8" s="281"/>
      <c r="C8" s="227" t="s">
        <v>91</v>
      </c>
      <c r="D8" s="284"/>
      <c r="E8" s="285">
        <f>(E7-D7)/D7</f>
        <v>0.13157894736842105</v>
      </c>
      <c r="F8" s="285">
        <f>(F7-E7)/E7</f>
        <v>0.31234963913392139</v>
      </c>
      <c r="G8" s="285">
        <f t="shared" ref="G8:K8" si="12">(G7-F7)/F7</f>
        <v>0.6851894286587229</v>
      </c>
      <c r="H8" s="285">
        <f t="shared" si="12"/>
        <v>0.52317280453257786</v>
      </c>
      <c r="I8" s="285">
        <f t="shared" si="12"/>
        <v>0.16811486385954472</v>
      </c>
      <c r="J8" s="285">
        <f t="shared" si="12"/>
        <v>-7.6793743392477298E-2</v>
      </c>
      <c r="K8" s="285">
        <f t="shared" si="12"/>
        <v>-9.1873620309050774E-2</v>
      </c>
    </row>
    <row r="9" spans="1:17" s="52" customFormat="1" ht="12.75" customHeight="1" x14ac:dyDescent="0.2">
      <c r="A9" s="280"/>
      <c r="B9" s="281" t="s">
        <v>286</v>
      </c>
      <c r="C9" s="227"/>
      <c r="D9" s="284">
        <v>0</v>
      </c>
      <c r="E9" s="284">
        <v>0</v>
      </c>
      <c r="F9" s="284">
        <v>0</v>
      </c>
      <c r="G9" s="284">
        <v>1465</v>
      </c>
      <c r="H9" s="284">
        <v>1776</v>
      </c>
      <c r="I9" s="284">
        <v>1790</v>
      </c>
      <c r="J9" s="284">
        <v>2763</v>
      </c>
      <c r="K9" s="284">
        <v>1993</v>
      </c>
      <c r="M9" s="52" t="s">
        <v>301</v>
      </c>
    </row>
    <row r="10" spans="1:17" s="52" customFormat="1" ht="12.75" customHeight="1" x14ac:dyDescent="0.2">
      <c r="A10" s="280"/>
      <c r="B10" s="281"/>
      <c r="C10" s="227" t="s">
        <v>91</v>
      </c>
      <c r="D10" s="284"/>
      <c r="E10" s="285">
        <v>0</v>
      </c>
      <c r="F10" s="285">
        <v>0</v>
      </c>
      <c r="G10" s="285">
        <v>0</v>
      </c>
      <c r="H10" s="285">
        <f>H9/G9-1</f>
        <v>0.21228668941979523</v>
      </c>
      <c r="I10" s="285">
        <f t="shared" ref="I10:K10" si="13">I9/H9-1</f>
        <v>7.8828828828829689E-3</v>
      </c>
      <c r="J10" s="285">
        <f t="shared" si="13"/>
        <v>0.54357541899441331</v>
      </c>
      <c r="K10" s="285">
        <f t="shared" si="13"/>
        <v>-0.27868259138617446</v>
      </c>
    </row>
    <row r="11" spans="1:17" s="52" customFormat="1" ht="12.75" customHeight="1" x14ac:dyDescent="0.2">
      <c r="A11" s="280"/>
      <c r="B11" s="281" t="s">
        <v>215</v>
      </c>
      <c r="C11" s="282"/>
      <c r="D11" s="284">
        <v>883</v>
      </c>
      <c r="E11" s="284">
        <v>869</v>
      </c>
      <c r="F11" s="284">
        <v>1052</v>
      </c>
      <c r="G11" s="284">
        <v>1642</v>
      </c>
      <c r="H11" s="284">
        <v>2476</v>
      </c>
      <c r="I11" s="284">
        <v>2120</v>
      </c>
      <c r="J11" s="284">
        <v>1827</v>
      </c>
      <c r="K11" s="284">
        <v>1712</v>
      </c>
    </row>
    <row r="12" spans="1:17" s="52" customFormat="1" ht="12.75" customHeight="1" x14ac:dyDescent="0.2">
      <c r="A12" s="280"/>
      <c r="B12" s="281"/>
      <c r="C12" s="227" t="s">
        <v>91</v>
      </c>
      <c r="D12" s="342"/>
      <c r="E12" s="362">
        <f>(E11-D11)/D11</f>
        <v>-1.5855039637599093E-2</v>
      </c>
      <c r="F12" s="362">
        <f>(F11-E11)/E11</f>
        <v>0.21058688147295743</v>
      </c>
      <c r="G12" s="362">
        <f t="shared" ref="G12:K12" si="14">(G11-F11)/F11</f>
        <v>0.56083650190114065</v>
      </c>
      <c r="H12" s="362">
        <f t="shared" si="14"/>
        <v>0.50791717417783189</v>
      </c>
      <c r="I12" s="362">
        <f t="shared" si="14"/>
        <v>-0.14378029079159935</v>
      </c>
      <c r="J12" s="362">
        <f t="shared" si="14"/>
        <v>-0.13820754716981132</v>
      </c>
      <c r="K12" s="362">
        <f t="shared" si="14"/>
        <v>-6.2944718117131912E-2</v>
      </c>
    </row>
    <row r="13" spans="1:17" s="52" customFormat="1" ht="12.75" customHeight="1" x14ac:dyDescent="0.2">
      <c r="A13" s="280"/>
      <c r="B13" s="281" t="s">
        <v>218</v>
      </c>
      <c r="C13" s="227"/>
      <c r="D13" s="398">
        <f>D7+D11+D9</f>
        <v>18515</v>
      </c>
      <c r="E13" s="398">
        <f t="shared" ref="E13:K13" si="15">E7+E11+E9</f>
        <v>20821</v>
      </c>
      <c r="F13" s="398">
        <f t="shared" si="15"/>
        <v>27236</v>
      </c>
      <c r="G13" s="398">
        <f t="shared" si="15"/>
        <v>47232</v>
      </c>
      <c r="H13" s="398">
        <f t="shared" si="15"/>
        <v>71462</v>
      </c>
      <c r="I13" s="398">
        <f t="shared" si="15"/>
        <v>82419</v>
      </c>
      <c r="J13" s="398">
        <f t="shared" si="15"/>
        <v>77070</v>
      </c>
      <c r="K13" s="398">
        <f t="shared" si="15"/>
        <v>69526</v>
      </c>
    </row>
    <row r="14" spans="1:17" s="52" customFormat="1" ht="12.75" customHeight="1" x14ac:dyDescent="0.2">
      <c r="A14" s="280"/>
      <c r="B14" s="281"/>
      <c r="C14" s="227" t="s">
        <v>91</v>
      </c>
      <c r="D14" s="342"/>
      <c r="E14" s="362">
        <f>(E13-D13)/D13</f>
        <v>0.12454766405617067</v>
      </c>
      <c r="F14" s="362">
        <f>(F13-E13)/E13</f>
        <v>0.30810239661879835</v>
      </c>
      <c r="G14" s="362">
        <f t="shared" ref="G14:K14" si="16">(G13-F13)/F13</f>
        <v>0.73417535614627694</v>
      </c>
      <c r="H14" s="362">
        <f t="shared" si="16"/>
        <v>0.51299966124661245</v>
      </c>
      <c r="I14" s="362">
        <f t="shared" si="16"/>
        <v>0.15332624331812711</v>
      </c>
      <c r="J14" s="362">
        <f t="shared" si="16"/>
        <v>-6.4900083718560042E-2</v>
      </c>
      <c r="K14" s="362">
        <f t="shared" si="16"/>
        <v>-9.7885039574412872E-2</v>
      </c>
    </row>
    <row r="15" spans="1:17" s="52" customFormat="1" ht="12.75" customHeight="1" x14ac:dyDescent="0.2">
      <c r="A15" s="280"/>
      <c r="B15" s="281" t="s">
        <v>216</v>
      </c>
      <c r="C15" s="227"/>
      <c r="D15" s="284">
        <v>1555</v>
      </c>
      <c r="E15" s="284">
        <v>1531</v>
      </c>
      <c r="F15" s="284">
        <v>1994</v>
      </c>
      <c r="G15" s="284">
        <v>2789</v>
      </c>
      <c r="H15" s="284">
        <v>3909</v>
      </c>
      <c r="I15" s="284">
        <v>6035</v>
      </c>
      <c r="J15" s="284">
        <v>10086</v>
      </c>
      <c r="K15" s="284">
        <v>12771</v>
      </c>
    </row>
    <row r="16" spans="1:17" s="52" customFormat="1" ht="12.75" customHeight="1" x14ac:dyDescent="0.2">
      <c r="A16" s="280"/>
      <c r="B16" s="281"/>
      <c r="C16" s="227" t="s">
        <v>91</v>
      </c>
      <c r="D16" s="364"/>
      <c r="E16" s="366">
        <f>(E15-D15)/D15</f>
        <v>-1.5434083601286173E-2</v>
      </c>
      <c r="F16" s="366">
        <f>(F15-E15)/E15</f>
        <v>0.30241672109732204</v>
      </c>
      <c r="G16" s="366">
        <f t="shared" ref="G16:K16" si="17">(G15-F15)/F15</f>
        <v>0.39869608826479436</v>
      </c>
      <c r="H16" s="366">
        <f t="shared" si="17"/>
        <v>0.40157762638938688</v>
      </c>
      <c r="I16" s="366">
        <f t="shared" si="17"/>
        <v>0.54387311332821697</v>
      </c>
      <c r="J16" s="366">
        <f t="shared" si="17"/>
        <v>0.6712510356255178</v>
      </c>
      <c r="K16" s="366">
        <f t="shared" si="17"/>
        <v>0.26621058893515764</v>
      </c>
    </row>
    <row r="17" spans="1:17" s="52" customFormat="1" ht="12.75" customHeight="1" x14ac:dyDescent="0.2">
      <c r="A17" s="280"/>
      <c r="B17" s="281" t="s">
        <v>217</v>
      </c>
      <c r="C17" s="227"/>
      <c r="D17" s="284">
        <v>1391</v>
      </c>
      <c r="E17" s="284">
        <v>2226</v>
      </c>
      <c r="F17" s="284">
        <v>2306</v>
      </c>
      <c r="G17" s="284">
        <v>3802</v>
      </c>
      <c r="H17" s="284">
        <v>6091</v>
      </c>
      <c r="I17" s="284">
        <v>8319</v>
      </c>
      <c r="J17" s="284">
        <v>10534</v>
      </c>
      <c r="K17" s="284">
        <v>12530</v>
      </c>
    </row>
    <row r="18" spans="1:17" s="52" customFormat="1" ht="12.75" customHeight="1" x14ac:dyDescent="0.2">
      <c r="A18" s="280"/>
      <c r="B18" s="281"/>
      <c r="C18" s="227" t="s">
        <v>91</v>
      </c>
      <c r="D18" s="365"/>
      <c r="E18" s="366">
        <f>(E17-D17)/D17</f>
        <v>0.60028756290438534</v>
      </c>
      <c r="F18" s="366">
        <f>(F17-E17)/E17</f>
        <v>3.5938903863432167E-2</v>
      </c>
      <c r="G18" s="366">
        <f t="shared" ref="G18:K18" si="18">(G17-F17)/F17</f>
        <v>0.64874241110147446</v>
      </c>
      <c r="H18" s="366">
        <f t="shared" si="18"/>
        <v>0.60205155181483427</v>
      </c>
      <c r="I18" s="366">
        <f t="shared" si="18"/>
        <v>0.36578558528977179</v>
      </c>
      <c r="J18" s="366">
        <f t="shared" si="18"/>
        <v>0.26625796369755983</v>
      </c>
      <c r="K18" s="366">
        <f t="shared" si="18"/>
        <v>0.18948167837478641</v>
      </c>
    </row>
    <row r="19" spans="1:17" ht="12.75" customHeight="1" x14ac:dyDescent="0.2">
      <c r="A19" s="222"/>
      <c r="B19" s="286" t="s">
        <v>219</v>
      </c>
      <c r="C19" s="221"/>
      <c r="D19" s="363">
        <f>D13+D15+D17</f>
        <v>21461</v>
      </c>
      <c r="E19" s="363">
        <f t="shared" ref="E19:K19" si="19">E13+E15+E17</f>
        <v>24578</v>
      </c>
      <c r="F19" s="363">
        <f t="shared" si="19"/>
        <v>31536</v>
      </c>
      <c r="G19" s="363">
        <f>G13+G15+G17</f>
        <v>53823</v>
      </c>
      <c r="H19" s="363">
        <f t="shared" si="19"/>
        <v>81462</v>
      </c>
      <c r="I19" s="363">
        <f t="shared" si="19"/>
        <v>96773</v>
      </c>
      <c r="J19" s="363">
        <f t="shared" si="19"/>
        <v>97690</v>
      </c>
      <c r="K19" s="363">
        <f t="shared" si="19"/>
        <v>94827</v>
      </c>
      <c r="L19" s="404">
        <v>111580</v>
      </c>
      <c r="M19" s="404">
        <v>169190</v>
      </c>
      <c r="N19" s="363">
        <f>M19*(1+N20)</f>
        <v>211487.5</v>
      </c>
      <c r="O19" s="363">
        <f t="shared" ref="O19:Q19" si="20">N19*(1+O20)</f>
        <v>264359.375</v>
      </c>
      <c r="P19" s="363">
        <f t="shared" si="20"/>
        <v>330449.21875</v>
      </c>
      <c r="Q19" s="363">
        <f t="shared" si="20"/>
        <v>413061.5234375</v>
      </c>
    </row>
    <row r="20" spans="1:17" ht="12.75" customHeight="1" x14ac:dyDescent="0.2">
      <c r="A20" s="222"/>
      <c r="B20" s="287"/>
      <c r="C20" s="227" t="s">
        <v>300</v>
      </c>
      <c r="D20" s="228"/>
      <c r="E20" s="288">
        <f>(E19-D19)/D19</f>
        <v>0.14524020315921904</v>
      </c>
      <c r="F20" s="288">
        <f>(F19-E19)/E19</f>
        <v>0.28309870615998045</v>
      </c>
      <c r="G20" s="288">
        <f t="shared" ref="G20:J20" si="21">(G19-F19)/F19</f>
        <v>0.70671613394216137</v>
      </c>
      <c r="H20" s="288">
        <f t="shared" si="21"/>
        <v>0.51351652639206291</v>
      </c>
      <c r="I20" s="288">
        <f t="shared" si="21"/>
        <v>0.18795266504627925</v>
      </c>
      <c r="J20" s="288">
        <f t="shared" si="21"/>
        <v>9.4757835346635944E-3</v>
      </c>
      <c r="K20" s="288">
        <f>(K19-J19)/J19</f>
        <v>-2.9306991503736307E-2</v>
      </c>
      <c r="L20" s="288">
        <f t="shared" ref="L20:M20" si="22">(L19-K19)/K19</f>
        <v>0.17666909213620594</v>
      </c>
      <c r="M20" s="288">
        <f t="shared" si="22"/>
        <v>0.51631116687578416</v>
      </c>
      <c r="N20" s="405">
        <v>0.25</v>
      </c>
      <c r="O20" s="405">
        <f>N20</f>
        <v>0.25</v>
      </c>
      <c r="P20" s="405">
        <f>O20</f>
        <v>0.25</v>
      </c>
      <c r="Q20" s="405">
        <f>P20</f>
        <v>0.25</v>
      </c>
    </row>
    <row r="21" spans="1:17" ht="21" customHeight="1" x14ac:dyDescent="0.2">
      <c r="A21" s="219" t="s">
        <v>287</v>
      </c>
      <c r="B21" s="287"/>
      <c r="C21" s="227"/>
      <c r="D21" s="228"/>
      <c r="E21" s="228"/>
      <c r="F21" s="228"/>
      <c r="G21" s="289"/>
      <c r="H21" s="289"/>
      <c r="I21" s="289"/>
      <c r="J21" s="289"/>
      <c r="K21" s="289"/>
      <c r="L21" s="56"/>
    </row>
    <row r="22" spans="1:17" ht="15" customHeight="1" x14ac:dyDescent="0.2">
      <c r="A22" s="219"/>
      <c r="B22" s="287" t="s">
        <v>214</v>
      </c>
      <c r="C22" s="227"/>
      <c r="D22" s="284">
        <v>13686</v>
      </c>
      <c r="E22" s="284">
        <v>15939</v>
      </c>
      <c r="F22" s="284">
        <v>19696</v>
      </c>
      <c r="G22" s="284">
        <v>32415</v>
      </c>
      <c r="H22" s="284">
        <v>49599</v>
      </c>
      <c r="I22" s="284">
        <v>65121</v>
      </c>
      <c r="J22" s="284">
        <v>61870</v>
      </c>
      <c r="K22" s="284">
        <v>56267</v>
      </c>
    </row>
    <row r="23" spans="1:17" ht="13.5" customHeight="1" x14ac:dyDescent="0.2">
      <c r="A23" s="219"/>
      <c r="B23" s="287" t="s">
        <v>289</v>
      </c>
      <c r="C23" s="227"/>
      <c r="D23" s="284">
        <v>488</v>
      </c>
      <c r="E23" s="284">
        <v>459</v>
      </c>
      <c r="F23" s="284">
        <v>563</v>
      </c>
      <c r="G23" s="284">
        <v>978</v>
      </c>
      <c r="H23" s="284">
        <v>1509</v>
      </c>
      <c r="I23" s="284">
        <v>1268</v>
      </c>
      <c r="J23" s="284">
        <v>1003</v>
      </c>
      <c r="K23" s="284">
        <v>898</v>
      </c>
      <c r="M23" s="49" t="s">
        <v>302</v>
      </c>
    </row>
    <row r="24" spans="1:17" ht="13.5" customHeight="1" x14ac:dyDescent="0.2">
      <c r="A24" s="219"/>
      <c r="B24" s="286" t="s">
        <v>288</v>
      </c>
      <c r="C24" s="227"/>
      <c r="D24" s="399">
        <f>D22+D23</f>
        <v>14174</v>
      </c>
      <c r="E24" s="399">
        <f t="shared" ref="E24:K24" si="23">E22+E23</f>
        <v>16398</v>
      </c>
      <c r="F24" s="399">
        <f t="shared" si="23"/>
        <v>20259</v>
      </c>
      <c r="G24" s="399">
        <f t="shared" si="23"/>
        <v>33393</v>
      </c>
      <c r="H24" s="399">
        <f t="shared" si="23"/>
        <v>51108</v>
      </c>
      <c r="I24" s="399">
        <f t="shared" si="23"/>
        <v>66389</v>
      </c>
      <c r="J24" s="399">
        <f t="shared" si="23"/>
        <v>62873</v>
      </c>
      <c r="K24" s="399">
        <f t="shared" si="23"/>
        <v>57165</v>
      </c>
    </row>
    <row r="25" spans="1:17" ht="13.5" customHeight="1" x14ac:dyDescent="0.2">
      <c r="A25" s="219"/>
      <c r="B25" s="287" t="s">
        <v>220</v>
      </c>
      <c r="C25" s="227"/>
      <c r="D25" s="368">
        <v>1365</v>
      </c>
      <c r="E25" s="368">
        <v>1341</v>
      </c>
      <c r="F25" s="368">
        <v>1976</v>
      </c>
      <c r="G25" s="368">
        <v>2918</v>
      </c>
      <c r="H25" s="368">
        <v>3621</v>
      </c>
      <c r="I25" s="368">
        <v>4894</v>
      </c>
      <c r="J25" s="368">
        <v>7446</v>
      </c>
      <c r="K25" s="368">
        <v>8969</v>
      </c>
    </row>
    <row r="26" spans="1:17" ht="11.25" customHeight="1" x14ac:dyDescent="0.2">
      <c r="A26" s="219"/>
      <c r="B26" s="287" t="s">
        <v>290</v>
      </c>
      <c r="C26" s="227"/>
      <c r="D26" s="368">
        <v>1880</v>
      </c>
      <c r="E26" s="368">
        <v>2770</v>
      </c>
      <c r="F26" s="368">
        <v>2671</v>
      </c>
      <c r="G26" s="368">
        <v>3906</v>
      </c>
      <c r="H26" s="368">
        <v>5880</v>
      </c>
      <c r="I26" s="368">
        <v>7830</v>
      </c>
      <c r="J26" s="368">
        <v>9921</v>
      </c>
      <c r="K26" s="368">
        <v>11599</v>
      </c>
    </row>
    <row r="27" spans="1:17" ht="12.75" customHeight="1" x14ac:dyDescent="0.2">
      <c r="A27" s="222"/>
      <c r="B27" s="286" t="s">
        <v>292</v>
      </c>
      <c r="C27" s="223"/>
      <c r="D27" s="401">
        <f>D24+D25+D26-D44</f>
        <v>15518</v>
      </c>
      <c r="E27" s="401">
        <f t="shared" ref="E27:K27" si="24">E24+E25+E26-E44</f>
        <v>18355</v>
      </c>
      <c r="F27" s="401">
        <f t="shared" si="24"/>
        <v>22584</v>
      </c>
      <c r="G27" s="401">
        <f>G24+G25+G26-G44</f>
        <v>37306</v>
      </c>
      <c r="H27" s="401">
        <f t="shared" si="24"/>
        <v>56862</v>
      </c>
      <c r="I27" s="401">
        <f t="shared" si="24"/>
        <v>74446</v>
      </c>
      <c r="J27" s="401">
        <f t="shared" si="24"/>
        <v>74872</v>
      </c>
      <c r="K27" s="401">
        <f t="shared" si="24"/>
        <v>71585</v>
      </c>
      <c r="L27" s="401">
        <f>L19*L29</f>
        <v>85517.634967755133</v>
      </c>
      <c r="M27" s="401">
        <f t="shared" ref="M27:Q27" si="25">M19*M29</f>
        <v>129671.34486641416</v>
      </c>
      <c r="N27" s="401">
        <f t="shared" si="25"/>
        <v>162089.1810830177</v>
      </c>
      <c r="O27" s="401">
        <f t="shared" si="25"/>
        <v>202611.47635377213</v>
      </c>
      <c r="P27" s="401">
        <f t="shared" si="25"/>
        <v>253264.34544221516</v>
      </c>
      <c r="Q27" s="401">
        <f t="shared" si="25"/>
        <v>316580.43180276896</v>
      </c>
    </row>
    <row r="28" spans="1:17" ht="12.75" customHeight="1" x14ac:dyDescent="0.2">
      <c r="A28" s="222"/>
      <c r="B28" s="227"/>
      <c r="C28" s="227" t="s">
        <v>291</v>
      </c>
      <c r="D28" s="367"/>
      <c r="E28" s="400">
        <f>E27/D27-1</f>
        <v>0.18281995102461668</v>
      </c>
      <c r="F28" s="400">
        <f t="shared" ref="F28:K28" si="26">F27/E27-1</f>
        <v>0.23040043584854253</v>
      </c>
      <c r="G28" s="400">
        <f t="shared" si="26"/>
        <v>0.6518774353524619</v>
      </c>
      <c r="H28" s="400">
        <f t="shared" si="26"/>
        <v>0.52420522168015871</v>
      </c>
      <c r="I28" s="400">
        <f t="shared" si="26"/>
        <v>0.30923991417818586</v>
      </c>
      <c r="J28" s="400">
        <f t="shared" si="26"/>
        <v>5.7222684899120857E-3</v>
      </c>
      <c r="K28" s="400">
        <f t="shared" si="26"/>
        <v>-4.3901592050432758E-2</v>
      </c>
    </row>
    <row r="29" spans="1:17" ht="12.75" customHeight="1" x14ac:dyDescent="0.2">
      <c r="A29" s="222"/>
      <c r="B29" s="287"/>
      <c r="C29" s="227" t="s">
        <v>99</v>
      </c>
      <c r="D29" s="290">
        <f t="shared" ref="D29:K29" si="27">D27/D19</f>
        <v>0.72307907366851498</v>
      </c>
      <c r="E29" s="290">
        <f t="shared" si="27"/>
        <v>0.74680608674424287</v>
      </c>
      <c r="F29" s="290">
        <f t="shared" si="27"/>
        <v>0.71613394216133941</v>
      </c>
      <c r="G29" s="290">
        <f t="shared" si="27"/>
        <v>0.69312375750143995</v>
      </c>
      <c r="H29" s="290">
        <f t="shared" si="27"/>
        <v>0.69801870810930244</v>
      </c>
      <c r="I29" s="290">
        <f t="shared" si="27"/>
        <v>0.76928482117946118</v>
      </c>
      <c r="J29" s="290">
        <f t="shared" si="27"/>
        <v>0.76642440372607223</v>
      </c>
      <c r="K29" s="290">
        <f t="shared" si="27"/>
        <v>0.75490103029727817</v>
      </c>
      <c r="L29" s="405">
        <f>$J$29</f>
        <v>0.76642440372607223</v>
      </c>
      <c r="M29" s="405">
        <f t="shared" ref="M29:Q29" si="28">L29</f>
        <v>0.76642440372607223</v>
      </c>
      <c r="N29" s="405">
        <f t="shared" si="28"/>
        <v>0.76642440372607223</v>
      </c>
      <c r="O29" s="405">
        <f t="shared" si="28"/>
        <v>0.76642440372607223</v>
      </c>
      <c r="P29" s="405">
        <f t="shared" si="28"/>
        <v>0.76642440372607223</v>
      </c>
      <c r="Q29" s="405">
        <f t="shared" si="28"/>
        <v>0.76642440372607223</v>
      </c>
    </row>
    <row r="30" spans="1:17" ht="21" customHeight="1" x14ac:dyDescent="0.2">
      <c r="A30" s="222"/>
      <c r="B30" s="286" t="s">
        <v>55</v>
      </c>
      <c r="C30" s="221"/>
      <c r="D30" s="226">
        <f t="shared" ref="D30:Q30" si="29">D19-D27</f>
        <v>5943</v>
      </c>
      <c r="E30" s="226">
        <f t="shared" si="29"/>
        <v>6223</v>
      </c>
      <c r="F30" s="226">
        <f t="shared" si="29"/>
        <v>8952</v>
      </c>
      <c r="G30" s="226">
        <f t="shared" si="29"/>
        <v>16517</v>
      </c>
      <c r="H30" s="226">
        <f t="shared" si="29"/>
        <v>24600</v>
      </c>
      <c r="I30" s="226">
        <f t="shared" si="29"/>
        <v>22327</v>
      </c>
      <c r="J30" s="226">
        <f t="shared" si="29"/>
        <v>22818</v>
      </c>
      <c r="K30" s="226">
        <f t="shared" si="29"/>
        <v>23242</v>
      </c>
      <c r="L30" s="226">
        <f t="shared" si="29"/>
        <v>26062.365032244867</v>
      </c>
      <c r="M30" s="226">
        <f t="shared" si="29"/>
        <v>39518.655133585838</v>
      </c>
      <c r="N30" s="226">
        <f t="shared" si="29"/>
        <v>49398.318916982302</v>
      </c>
      <c r="O30" s="226">
        <f t="shared" si="29"/>
        <v>61747.89864622787</v>
      </c>
      <c r="P30" s="226">
        <f t="shared" si="29"/>
        <v>77184.873307784845</v>
      </c>
      <c r="Q30" s="226">
        <f t="shared" si="29"/>
        <v>96481.091634731041</v>
      </c>
    </row>
    <row r="31" spans="1:17" ht="12.75" customHeight="1" x14ac:dyDescent="0.2">
      <c r="A31" s="222"/>
      <c r="B31" s="291"/>
      <c r="C31" s="227" t="s">
        <v>36</v>
      </c>
      <c r="D31" s="228">
        <f t="shared" ref="D31:K31" si="30">D30/D19</f>
        <v>0.27692092633148502</v>
      </c>
      <c r="E31" s="228">
        <f t="shared" si="30"/>
        <v>0.25319391325575719</v>
      </c>
      <c r="F31" s="228">
        <f t="shared" si="30"/>
        <v>0.28386605783866059</v>
      </c>
      <c r="G31" s="228">
        <f t="shared" si="30"/>
        <v>0.3068762424985601</v>
      </c>
      <c r="H31" s="228">
        <f t="shared" si="30"/>
        <v>0.3019812918906975</v>
      </c>
      <c r="I31" s="228">
        <f t="shared" si="30"/>
        <v>0.2307151788205388</v>
      </c>
      <c r="J31" s="228">
        <f t="shared" si="30"/>
        <v>0.23357559627392774</v>
      </c>
      <c r="K31" s="228">
        <f t="shared" si="30"/>
        <v>0.2450989697027218</v>
      </c>
      <c r="L31" s="228">
        <f t="shared" ref="L31" si="31">L30/L19</f>
        <v>0.23357559627392782</v>
      </c>
      <c r="M31" s="228">
        <f t="shared" ref="M31" si="32">M30/M19</f>
        <v>0.23357559627392777</v>
      </c>
      <c r="N31" s="228">
        <f t="shared" ref="N31" si="33">N30/N19</f>
        <v>0.23357559627392779</v>
      </c>
      <c r="O31" s="228">
        <f t="shared" ref="O31" si="34">O30/O19</f>
        <v>0.23357559627392777</v>
      </c>
      <c r="P31" s="228">
        <f t="shared" ref="P31" si="35">P30/P19</f>
        <v>0.23357559627392777</v>
      </c>
      <c r="Q31" s="228">
        <f t="shared" ref="Q31" si="36">Q30/Q19</f>
        <v>0.23357559627392774</v>
      </c>
    </row>
    <row r="32" spans="1:17" ht="21" customHeight="1" x14ac:dyDescent="0.2">
      <c r="A32" s="286" t="s">
        <v>42</v>
      </c>
      <c r="B32" s="287"/>
      <c r="C32" s="287"/>
      <c r="D32" s="231"/>
      <c r="E32" s="231"/>
      <c r="F32" s="231"/>
      <c r="G32" s="231"/>
      <c r="H32" s="231"/>
      <c r="I32" s="231"/>
      <c r="J32" s="231"/>
      <c r="K32" s="231"/>
    </row>
    <row r="33" spans="1:17" ht="12.75" customHeight="1" x14ac:dyDescent="0.2">
      <c r="A33" s="222"/>
      <c r="B33" s="287" t="s">
        <v>221</v>
      </c>
      <c r="C33" s="287"/>
      <c r="D33" s="284">
        <v>1460</v>
      </c>
      <c r="E33" s="284">
        <v>1343</v>
      </c>
      <c r="F33" s="284">
        <v>1491</v>
      </c>
      <c r="G33" s="284">
        <v>2593</v>
      </c>
      <c r="H33" s="284">
        <v>3075</v>
      </c>
      <c r="I33" s="284">
        <v>3969</v>
      </c>
      <c r="J33" s="284">
        <v>4540</v>
      </c>
      <c r="K33" s="284">
        <v>6411</v>
      </c>
      <c r="L33" s="406">
        <f>L19*L34</f>
        <v>7810.6</v>
      </c>
      <c r="M33" s="406">
        <f t="shared" ref="M33:Q33" si="37">M19*M34</f>
        <v>11843.300000000001</v>
      </c>
      <c r="N33" s="406">
        <f t="shared" si="37"/>
        <v>14804.125000000002</v>
      </c>
      <c r="O33" s="406">
        <f t="shared" si="37"/>
        <v>18505.15625</v>
      </c>
      <c r="P33" s="406">
        <f t="shared" si="37"/>
        <v>23131.445312500004</v>
      </c>
      <c r="Q33" s="406">
        <f t="shared" si="37"/>
        <v>28914.306640625004</v>
      </c>
    </row>
    <row r="34" spans="1:17" ht="12.75" customHeight="1" x14ac:dyDescent="0.2">
      <c r="A34" s="222"/>
      <c r="B34" s="287"/>
      <c r="C34" s="227" t="s">
        <v>224</v>
      </c>
      <c r="D34" s="292">
        <f t="shared" ref="D34:K34" si="38">D33/D19</f>
        <v>6.8030380690554962E-2</v>
      </c>
      <c r="E34" s="292">
        <f t="shared" si="38"/>
        <v>5.4642363088941333E-2</v>
      </c>
      <c r="F34" s="292">
        <f t="shared" si="38"/>
        <v>4.7279299847792999E-2</v>
      </c>
      <c r="G34" s="292">
        <f t="shared" si="38"/>
        <v>4.817643015067908E-2</v>
      </c>
      <c r="H34" s="292">
        <f t="shared" si="38"/>
        <v>3.7747661486337188E-2</v>
      </c>
      <c r="I34" s="292">
        <f t="shared" si="38"/>
        <v>4.1013505833238609E-2</v>
      </c>
      <c r="J34" s="292">
        <f t="shared" si="38"/>
        <v>4.6473538745009722E-2</v>
      </c>
      <c r="K34" s="292">
        <f t="shared" si="38"/>
        <v>6.7607327027112529E-2</v>
      </c>
      <c r="L34" s="405">
        <v>7.0000000000000007E-2</v>
      </c>
      <c r="M34" s="405">
        <f>L34</f>
        <v>7.0000000000000007E-2</v>
      </c>
      <c r="N34" s="405">
        <f t="shared" ref="N34:Q34" si="39">M34</f>
        <v>7.0000000000000007E-2</v>
      </c>
      <c r="O34" s="405">
        <f t="shared" si="39"/>
        <v>7.0000000000000007E-2</v>
      </c>
      <c r="P34" s="405">
        <f t="shared" si="39"/>
        <v>7.0000000000000007E-2</v>
      </c>
      <c r="Q34" s="405">
        <f t="shared" si="39"/>
        <v>7.0000000000000007E-2</v>
      </c>
    </row>
    <row r="35" spans="1:17" ht="12.75" customHeight="1" x14ac:dyDescent="0.2">
      <c r="A35" s="222"/>
      <c r="B35" s="287"/>
      <c r="C35" s="227" t="s">
        <v>295</v>
      </c>
      <c r="D35" s="292"/>
      <c r="E35" s="292">
        <f>E33/D33-1</f>
        <v>-8.0136986301369895E-2</v>
      </c>
      <c r="F35" s="292">
        <f t="shared" ref="F35:K35" si="40">F33/E33-1</f>
        <v>0.11020104244229345</v>
      </c>
      <c r="G35" s="292">
        <f t="shared" si="40"/>
        <v>0.73910127431254202</v>
      </c>
      <c r="H35" s="292">
        <f t="shared" si="40"/>
        <v>0.18588507520246811</v>
      </c>
      <c r="I35" s="292">
        <f t="shared" si="40"/>
        <v>0.29073170731707321</v>
      </c>
      <c r="J35" s="292">
        <f t="shared" si="40"/>
        <v>0.14386495338876282</v>
      </c>
      <c r="K35" s="292">
        <f t="shared" si="40"/>
        <v>0.41211453744493398</v>
      </c>
      <c r="M35" s="56"/>
    </row>
    <row r="36" spans="1:17" ht="12.75" customHeight="1" x14ac:dyDescent="0.2">
      <c r="A36" s="222"/>
      <c r="B36" s="222" t="s">
        <v>293</v>
      </c>
      <c r="C36" s="222"/>
      <c r="D36" s="284">
        <v>2835</v>
      </c>
      <c r="E36" s="284">
        <v>2646</v>
      </c>
      <c r="F36" s="284">
        <v>3145</v>
      </c>
      <c r="G36" s="284">
        <v>4517</v>
      </c>
      <c r="H36" s="284">
        <v>3946</v>
      </c>
      <c r="I36" s="284">
        <v>4800</v>
      </c>
      <c r="J36" s="284">
        <v>5150</v>
      </c>
      <c r="K36" s="284">
        <v>5834</v>
      </c>
      <c r="L36" s="406">
        <f>L19*L37</f>
        <v>6864.6874835226254</v>
      </c>
      <c r="M36" s="406">
        <f t="shared" ref="M36:Q36" si="41">M19*M37</f>
        <v>10409.002288377784</v>
      </c>
      <c r="N36" s="406">
        <f t="shared" si="41"/>
        <v>13011.252860472228</v>
      </c>
      <c r="O36" s="406">
        <f t="shared" si="41"/>
        <v>13936.439566485824</v>
      </c>
      <c r="P36" s="406">
        <f t="shared" si="41"/>
        <v>17420.549458107278</v>
      </c>
      <c r="Q36" s="406">
        <f t="shared" si="41"/>
        <v>21775.686822634099</v>
      </c>
    </row>
    <row r="37" spans="1:17" ht="12.75" customHeight="1" x14ac:dyDescent="0.2">
      <c r="A37" s="222"/>
      <c r="B37" s="222"/>
      <c r="C37" s="227" t="s">
        <v>294</v>
      </c>
      <c r="D37" s="292">
        <f t="shared" ref="D37:K37" si="42">D36/D19</f>
        <v>0.1321000885326872</v>
      </c>
      <c r="E37" s="292">
        <f t="shared" si="42"/>
        <v>0.10765725445520384</v>
      </c>
      <c r="F37" s="292">
        <f t="shared" si="42"/>
        <v>9.9727295788939629E-2</v>
      </c>
      <c r="G37" s="292">
        <f t="shared" si="42"/>
        <v>8.3923229845976624E-2</v>
      </c>
      <c r="H37" s="292">
        <f t="shared" si="42"/>
        <v>4.8439763325231394E-2</v>
      </c>
      <c r="I37" s="292">
        <f t="shared" si="42"/>
        <v>4.9600611740878139E-2</v>
      </c>
      <c r="J37" s="292">
        <f t="shared" si="42"/>
        <v>5.2717780734977994E-2</v>
      </c>
      <c r="K37" s="292">
        <f t="shared" si="42"/>
        <v>6.1522562139475045E-2</v>
      </c>
      <c r="L37" s="405">
        <f>K37</f>
        <v>6.1522562139475045E-2</v>
      </c>
      <c r="M37" s="405">
        <f>L37</f>
        <v>6.1522562139475045E-2</v>
      </c>
      <c r="N37" s="405">
        <f>M37</f>
        <v>6.1522562139475045E-2</v>
      </c>
      <c r="O37" s="405">
        <f>$J$37</f>
        <v>5.2717780734977994E-2</v>
      </c>
      <c r="P37" s="405">
        <f t="shared" ref="P37:Q37" si="43">$J$37</f>
        <v>5.2717780734977994E-2</v>
      </c>
      <c r="Q37" s="405">
        <f t="shared" si="43"/>
        <v>5.2717780734977994E-2</v>
      </c>
    </row>
    <row r="38" spans="1:17" ht="12.75" customHeight="1" x14ac:dyDescent="0.2">
      <c r="A38" s="222"/>
      <c r="B38" s="222"/>
      <c r="C38" s="227" t="s">
        <v>296</v>
      </c>
      <c r="D38" s="292"/>
      <c r="E38" s="292">
        <f>E36/D36-1</f>
        <v>-6.6666666666666652E-2</v>
      </c>
      <c r="F38" s="292">
        <f t="shared" ref="F38:K38" si="44">F36/E36-1</f>
        <v>0.18858654572940292</v>
      </c>
      <c r="G38" s="292">
        <f t="shared" si="44"/>
        <v>0.43624801271860103</v>
      </c>
      <c r="H38" s="292">
        <f t="shared" si="44"/>
        <v>-0.12641133495682977</v>
      </c>
      <c r="I38" s="292">
        <f t="shared" si="44"/>
        <v>0.21642169285352253</v>
      </c>
      <c r="J38" s="292">
        <f t="shared" si="44"/>
        <v>7.2916666666666741E-2</v>
      </c>
      <c r="K38" s="292">
        <f t="shared" si="44"/>
        <v>0.13281553398058255</v>
      </c>
    </row>
    <row r="39" spans="1:17" ht="12.75" customHeight="1" x14ac:dyDescent="0.2">
      <c r="A39" s="277"/>
      <c r="B39" s="287" t="s">
        <v>222</v>
      </c>
      <c r="C39" s="287"/>
      <c r="D39" s="293">
        <v>135</v>
      </c>
      <c r="E39" s="293">
        <v>149</v>
      </c>
      <c r="F39" s="293">
        <v>0</v>
      </c>
      <c r="G39" s="293">
        <v>-27</v>
      </c>
      <c r="H39" s="293">
        <v>176</v>
      </c>
      <c r="I39" s="293">
        <v>0</v>
      </c>
      <c r="J39" s="293">
        <v>684</v>
      </c>
      <c r="K39" s="293">
        <v>494</v>
      </c>
      <c r="L39" s="406">
        <f>L19*L40</f>
        <v>581.27453151528573</v>
      </c>
      <c r="M39" s="406">
        <f t="shared" ref="M39:Q39" si="45">M19*M40</f>
        <v>881.39306315711769</v>
      </c>
      <c r="N39" s="406">
        <f t="shared" si="45"/>
        <v>1101.7413289463971</v>
      </c>
      <c r="O39" s="406">
        <f t="shared" si="45"/>
        <v>1377.1766611829964</v>
      </c>
      <c r="P39" s="406">
        <f t="shared" si="45"/>
        <v>1721.4708264787455</v>
      </c>
      <c r="Q39" s="406">
        <f t="shared" si="45"/>
        <v>2151.838533098432</v>
      </c>
    </row>
    <row r="40" spans="1:17" ht="12.75" customHeight="1" x14ac:dyDescent="0.2">
      <c r="A40" s="222"/>
      <c r="B40" s="222"/>
      <c r="C40" s="227" t="s">
        <v>223</v>
      </c>
      <c r="D40" s="290">
        <f t="shared" ref="D40:K40" si="46">D39/D19</f>
        <v>6.2904804063184383E-3</v>
      </c>
      <c r="E40" s="290">
        <f t="shared" si="46"/>
        <v>6.0623321669785986E-3</v>
      </c>
      <c r="F40" s="290">
        <f t="shared" si="46"/>
        <v>0</v>
      </c>
      <c r="G40" s="290">
        <f t="shared" si="46"/>
        <v>-5.0164427846831284E-4</v>
      </c>
      <c r="H40" s="290">
        <f t="shared" si="46"/>
        <v>2.160516559868405E-3</v>
      </c>
      <c r="I40" s="290">
        <f t="shared" si="46"/>
        <v>0</v>
      </c>
      <c r="J40" s="290">
        <f t="shared" si="46"/>
        <v>7.0017401985873681E-3</v>
      </c>
      <c r="K40" s="290">
        <f t="shared" si="46"/>
        <v>5.2094867495544516E-3</v>
      </c>
      <c r="L40" s="405">
        <f>K40</f>
        <v>5.2094867495544516E-3</v>
      </c>
      <c r="M40" s="405">
        <f t="shared" ref="M40:Q40" si="47">L40</f>
        <v>5.2094867495544516E-3</v>
      </c>
      <c r="N40" s="405">
        <f t="shared" si="47"/>
        <v>5.2094867495544516E-3</v>
      </c>
      <c r="O40" s="405">
        <f t="shared" si="47"/>
        <v>5.2094867495544516E-3</v>
      </c>
      <c r="P40" s="405">
        <f t="shared" si="47"/>
        <v>5.2094867495544516E-3</v>
      </c>
      <c r="Q40" s="405">
        <f t="shared" si="47"/>
        <v>5.2094867495544516E-3</v>
      </c>
    </row>
    <row r="41" spans="1:17" ht="12.75" customHeight="1" x14ac:dyDescent="0.2">
      <c r="A41" s="222"/>
      <c r="B41" s="286" t="s">
        <v>43</v>
      </c>
      <c r="C41" s="287"/>
      <c r="D41" s="226">
        <f>D33+D36+D39</f>
        <v>4430</v>
      </c>
      <c r="E41" s="226">
        <f t="shared" ref="E41:J41" si="48">E33+E36+E39</f>
        <v>4138</v>
      </c>
      <c r="F41" s="226">
        <f t="shared" si="48"/>
        <v>4636</v>
      </c>
      <c r="G41" s="226">
        <f t="shared" si="48"/>
        <v>7083</v>
      </c>
      <c r="H41" s="226">
        <f t="shared" si="48"/>
        <v>7197</v>
      </c>
      <c r="I41" s="226">
        <f t="shared" si="48"/>
        <v>8769</v>
      </c>
      <c r="J41" s="226">
        <f t="shared" si="48"/>
        <v>10374</v>
      </c>
      <c r="K41" s="226">
        <f>K33+K36+K39</f>
        <v>12739</v>
      </c>
      <c r="L41" s="363">
        <f t="shared" ref="L41:Q41" si="49">L33+L36+L39</f>
        <v>15256.562015037911</v>
      </c>
      <c r="M41" s="363">
        <f t="shared" si="49"/>
        <v>23133.695351534901</v>
      </c>
      <c r="N41" s="363">
        <f t="shared" si="49"/>
        <v>28917.11918941863</v>
      </c>
      <c r="O41" s="363">
        <f t="shared" si="49"/>
        <v>33818.772477668819</v>
      </c>
      <c r="P41" s="363">
        <f t="shared" si="49"/>
        <v>42273.465597086033</v>
      </c>
      <c r="Q41" s="363">
        <f t="shared" si="49"/>
        <v>52841.831996357534</v>
      </c>
    </row>
    <row r="42" spans="1:17" ht="21" customHeight="1" x14ac:dyDescent="0.2">
      <c r="A42" s="222"/>
      <c r="B42" s="286" t="s">
        <v>297</v>
      </c>
      <c r="C42" s="221"/>
      <c r="D42" s="226">
        <f>D30-D41</f>
        <v>1513</v>
      </c>
      <c r="E42" s="226">
        <f t="shared" ref="E42:Q42" si="50">E30-E41</f>
        <v>2085</v>
      </c>
      <c r="F42" s="226">
        <f t="shared" si="50"/>
        <v>4316</v>
      </c>
      <c r="G42" s="226">
        <f t="shared" si="50"/>
        <v>9434</v>
      </c>
      <c r="H42" s="226">
        <f t="shared" si="50"/>
        <v>17403</v>
      </c>
      <c r="I42" s="226">
        <f t="shared" si="50"/>
        <v>13558</v>
      </c>
      <c r="J42" s="226">
        <f t="shared" si="50"/>
        <v>12444</v>
      </c>
      <c r="K42" s="226">
        <f t="shared" si="50"/>
        <v>10503</v>
      </c>
      <c r="L42" s="226">
        <f t="shared" si="50"/>
        <v>10805.803017206956</v>
      </c>
      <c r="M42" s="226">
        <f t="shared" si="50"/>
        <v>16384.959782050937</v>
      </c>
      <c r="N42" s="226">
        <f t="shared" si="50"/>
        <v>20481.199727563671</v>
      </c>
      <c r="O42" s="226">
        <f t="shared" si="50"/>
        <v>27929.126168559051</v>
      </c>
      <c r="P42" s="226">
        <f t="shared" si="50"/>
        <v>34911.407710698812</v>
      </c>
      <c r="Q42" s="226">
        <f t="shared" si="50"/>
        <v>43639.259638373507</v>
      </c>
    </row>
    <row r="43" spans="1:17" ht="12.75" customHeight="1" x14ac:dyDescent="0.2">
      <c r="A43" s="222"/>
      <c r="B43" s="291"/>
      <c r="C43" s="227" t="s">
        <v>37</v>
      </c>
      <c r="D43" s="288">
        <f t="shared" ref="D43:K43" si="51">D42/D19</f>
        <v>7.0499976701924427E-2</v>
      </c>
      <c r="E43" s="288">
        <f t="shared" si="51"/>
        <v>8.4831963544633418E-2</v>
      </c>
      <c r="F43" s="288">
        <f t="shared" si="51"/>
        <v>0.13685946220192796</v>
      </c>
      <c r="G43" s="288">
        <f t="shared" si="51"/>
        <v>0.17527822678037269</v>
      </c>
      <c r="H43" s="288">
        <f t="shared" si="51"/>
        <v>0.21363335051926052</v>
      </c>
      <c r="I43" s="288">
        <f t="shared" si="51"/>
        <v>0.14010106124642205</v>
      </c>
      <c r="J43" s="288">
        <f t="shared" si="51"/>
        <v>0.12738253659535265</v>
      </c>
      <c r="K43" s="288">
        <f t="shared" si="51"/>
        <v>0.11075959378657978</v>
      </c>
      <c r="L43" s="288">
        <f t="shared" ref="L43" si="52">L42/L19</f>
        <v>9.6843547384898324E-2</v>
      </c>
      <c r="M43" s="288">
        <f t="shared" ref="M43" si="53">M42/M19</f>
        <v>9.6843547384898268E-2</v>
      </c>
      <c r="N43" s="288">
        <f t="shared" ref="N43" si="54">N42/N19</f>
        <v>9.6843547384898268E-2</v>
      </c>
      <c r="O43" s="288">
        <f t="shared" ref="O43" si="55">O42/O19</f>
        <v>0.10564832878939531</v>
      </c>
      <c r="P43" s="288">
        <f t="shared" ref="P43" si="56">P42/P19</f>
        <v>0.1056483287893953</v>
      </c>
      <c r="Q43" s="288">
        <f t="shared" ref="Q43" si="57">Q42/Q19</f>
        <v>0.10564832878939528</v>
      </c>
    </row>
    <row r="44" spans="1:17" s="222" customFormat="1" ht="21" customHeight="1" x14ac:dyDescent="0.2">
      <c r="B44" s="287" t="s">
        <v>38</v>
      </c>
      <c r="C44" s="287"/>
      <c r="D44" s="293">
        <v>1901</v>
      </c>
      <c r="E44" s="293">
        <v>2154</v>
      </c>
      <c r="F44" s="293">
        <v>2322</v>
      </c>
      <c r="G44" s="293">
        <v>2911</v>
      </c>
      <c r="H44" s="293">
        <v>3747</v>
      </c>
      <c r="I44" s="293">
        <v>4667</v>
      </c>
      <c r="J44" s="293">
        <v>5368</v>
      </c>
      <c r="K44" s="293">
        <v>6148</v>
      </c>
      <c r="L44" s="293">
        <f>Depreciation!G28</f>
        <v>8059.1385281385283</v>
      </c>
      <c r="M44" s="293">
        <f>Depreciation!H28</f>
        <v>9877.3203463203463</v>
      </c>
      <c r="N44" s="293">
        <f>Depreciation!I28</f>
        <v>11210.65367965368</v>
      </c>
      <c r="O44" s="293">
        <f>Depreciation!J28</f>
        <v>12543.987012987014</v>
      </c>
      <c r="P44" s="293">
        <f>Depreciation!K28</f>
        <v>13710.65367965368</v>
      </c>
      <c r="Q44" s="293">
        <f>Depreciation!L28</f>
        <v>13710.65367965368</v>
      </c>
    </row>
    <row r="45" spans="1:17" s="222" customFormat="1" ht="21" customHeight="1" x14ac:dyDescent="0.2">
      <c r="B45" s="287"/>
      <c r="C45" s="291" t="s">
        <v>338</v>
      </c>
      <c r="D45" s="293"/>
      <c r="E45" s="430">
        <f>E44/D44-1</f>
        <v>0.13308784850078914</v>
      </c>
      <c r="F45" s="430">
        <f t="shared" ref="F45:K45" si="58">F44/E44-1</f>
        <v>7.7994428969359264E-2</v>
      </c>
      <c r="G45" s="430">
        <f t="shared" si="58"/>
        <v>0.25366063738156752</v>
      </c>
      <c r="H45" s="430">
        <f t="shared" si="58"/>
        <v>0.2871865338371693</v>
      </c>
      <c r="I45" s="430">
        <f t="shared" si="58"/>
        <v>0.24552975713904468</v>
      </c>
      <c r="J45" s="430">
        <f t="shared" si="58"/>
        <v>0.15020355688879361</v>
      </c>
      <c r="K45" s="430">
        <f t="shared" si="58"/>
        <v>0.1453055141579731</v>
      </c>
      <c r="L45" s="430">
        <f t="shared" ref="L45" si="59">L44/K44-1</f>
        <v>0.31085532337972155</v>
      </c>
      <c r="M45" s="430">
        <f t="shared" ref="M45" si="60">M44/L44-1</f>
        <v>0.22560498393638806</v>
      </c>
      <c r="N45" s="430">
        <f t="shared" ref="N45" si="61">N44/M44-1</f>
        <v>0.13498937835199887</v>
      </c>
      <c r="O45" s="430">
        <f t="shared" ref="O45" si="62">O44/N44-1</f>
        <v>0.11893448601959866</v>
      </c>
      <c r="P45" s="430">
        <f t="shared" ref="P45" si="63">P44/O44-1</f>
        <v>9.300604867166995E-2</v>
      </c>
      <c r="Q45" s="430">
        <f t="shared" ref="Q45" si="64">Q44/P44-1</f>
        <v>0</v>
      </c>
    </row>
    <row r="46" spans="1:17" s="222" customFormat="1" ht="21" customHeight="1" x14ac:dyDescent="0.2">
      <c r="B46" s="286" t="s">
        <v>0</v>
      </c>
      <c r="C46" s="221"/>
      <c r="D46" s="226">
        <f t="shared" ref="D46:Q46" si="65">D42-D44</f>
        <v>-388</v>
      </c>
      <c r="E46" s="226">
        <f t="shared" si="65"/>
        <v>-69</v>
      </c>
      <c r="F46" s="226">
        <f t="shared" si="65"/>
        <v>1994</v>
      </c>
      <c r="G46" s="226">
        <f t="shared" si="65"/>
        <v>6523</v>
      </c>
      <c r="H46" s="226">
        <f t="shared" si="65"/>
        <v>13656</v>
      </c>
      <c r="I46" s="226">
        <f t="shared" si="65"/>
        <v>8891</v>
      </c>
      <c r="J46" s="226">
        <f t="shared" si="65"/>
        <v>7076</v>
      </c>
      <c r="K46" s="226">
        <f t="shared" si="65"/>
        <v>4355</v>
      </c>
      <c r="L46" s="226">
        <f t="shared" si="65"/>
        <v>2746.6644890684274</v>
      </c>
      <c r="M46" s="226">
        <f t="shared" si="65"/>
        <v>6507.6394357305908</v>
      </c>
      <c r="N46" s="226">
        <f t="shared" si="65"/>
        <v>9270.5460479099911</v>
      </c>
      <c r="O46" s="226">
        <f t="shared" si="65"/>
        <v>15385.139155572037</v>
      </c>
      <c r="P46" s="226">
        <f t="shared" si="65"/>
        <v>21200.75403104513</v>
      </c>
      <c r="Q46" s="226">
        <f t="shared" si="65"/>
        <v>29928.605958719825</v>
      </c>
    </row>
    <row r="47" spans="1:17" s="222" customFormat="1" ht="12.75" customHeight="1" x14ac:dyDescent="0.2">
      <c r="B47" s="287"/>
      <c r="C47" s="291" t="s">
        <v>39</v>
      </c>
      <c r="D47" s="288">
        <f t="shared" ref="D47:Q47" si="66">D46/D19</f>
        <v>-1.8079306649270769E-2</v>
      </c>
      <c r="E47" s="288">
        <f t="shared" si="66"/>
        <v>-2.8073887216209618E-3</v>
      </c>
      <c r="F47" s="288">
        <f t="shared" si="66"/>
        <v>6.3229325215626589E-2</v>
      </c>
      <c r="G47" s="288">
        <f t="shared" si="66"/>
        <v>0.12119354179440016</v>
      </c>
      <c r="H47" s="288">
        <f t="shared" si="66"/>
        <v>0.16763644398615304</v>
      </c>
      <c r="I47" s="288">
        <f t="shared" si="66"/>
        <v>9.1874799789197395E-2</v>
      </c>
      <c r="J47" s="288">
        <f t="shared" si="66"/>
        <v>7.2433207083631893E-2</v>
      </c>
      <c r="K47" s="288">
        <f t="shared" si="66"/>
        <v>4.5925738450019508E-2</v>
      </c>
      <c r="L47" s="288">
        <f t="shared" si="66"/>
        <v>2.461610045768442E-2</v>
      </c>
      <c r="M47" s="288">
        <f t="shared" si="66"/>
        <v>3.8463499235951243E-2</v>
      </c>
      <c r="N47" s="288">
        <f t="shared" si="66"/>
        <v>4.383495973951175E-2</v>
      </c>
      <c r="O47" s="288">
        <f t="shared" si="66"/>
        <v>5.8197819372102978E-2</v>
      </c>
      <c r="P47" s="288">
        <f t="shared" si="66"/>
        <v>6.415737374487325E-2</v>
      </c>
      <c r="Q47" s="288">
        <f t="shared" si="66"/>
        <v>7.2455564753777651E-2</v>
      </c>
    </row>
    <row r="48" spans="1:17" s="411" customFormat="1" ht="21" customHeight="1" x14ac:dyDescent="0.2">
      <c r="A48" s="407" t="s">
        <v>298</v>
      </c>
      <c r="B48" s="408"/>
      <c r="C48" s="409"/>
      <c r="D48" s="410">
        <v>-22</v>
      </c>
      <c r="E48" s="410">
        <v>-45</v>
      </c>
      <c r="F48" s="410">
        <v>122</v>
      </c>
      <c r="G48" s="410">
        <v>-135</v>
      </c>
      <c r="H48" s="410">
        <v>43</v>
      </c>
      <c r="I48" s="410">
        <v>-172</v>
      </c>
      <c r="J48" s="410">
        <v>-695</v>
      </c>
      <c r="K48" s="410">
        <v>419</v>
      </c>
      <c r="L48" s="410">
        <v>-172</v>
      </c>
      <c r="M48" s="410">
        <v>-695</v>
      </c>
      <c r="N48" s="410">
        <v>419</v>
      </c>
      <c r="O48" s="410">
        <v>-172</v>
      </c>
      <c r="P48" s="410">
        <v>-695</v>
      </c>
      <c r="Q48" s="410">
        <v>419</v>
      </c>
    </row>
    <row r="49" spans="1:17" s="222" customFormat="1" ht="21" customHeight="1" x14ac:dyDescent="0.2">
      <c r="A49" s="219" t="s">
        <v>76</v>
      </c>
      <c r="B49" s="287"/>
      <c r="C49" s="291"/>
      <c r="D49" s="228"/>
      <c r="E49" s="228"/>
      <c r="F49" s="228"/>
      <c r="G49" s="228"/>
      <c r="H49" s="228"/>
      <c r="I49" s="228"/>
      <c r="J49" s="228"/>
      <c r="K49" s="228"/>
    </row>
    <row r="50" spans="1:17" ht="12.75" customHeight="1" x14ac:dyDescent="0.2">
      <c r="A50" s="222"/>
      <c r="B50" s="287" t="s">
        <v>40</v>
      </c>
      <c r="C50" s="287"/>
      <c r="D50" s="284">
        <v>663</v>
      </c>
      <c r="E50" s="284">
        <v>685</v>
      </c>
      <c r="F50" s="284">
        <v>748</v>
      </c>
      <c r="G50" s="284">
        <v>371</v>
      </c>
      <c r="H50" s="284">
        <v>191</v>
      </c>
      <c r="I50" s="284">
        <v>156</v>
      </c>
      <c r="J50" s="284">
        <v>350</v>
      </c>
      <c r="K50" s="284">
        <v>338</v>
      </c>
      <c r="L50" s="406">
        <f>'Debt Schedule'!G48</f>
        <v>289.89490000000001</v>
      </c>
      <c r="M50" s="406">
        <f>'Debt Schedule'!H48</f>
        <v>289.89490000000001</v>
      </c>
      <c r="N50" s="406">
        <f>'Debt Schedule'!I48</f>
        <v>289.89490000000001</v>
      </c>
      <c r="O50" s="406">
        <f>'Debt Schedule'!J48</f>
        <v>289.89490000000001</v>
      </c>
      <c r="P50" s="406">
        <f>'Debt Schedule'!K48</f>
        <v>289.89490000000001</v>
      </c>
      <c r="Q50" s="406">
        <f>'Debt Schedule'!L48</f>
        <v>289.89490000000001</v>
      </c>
    </row>
    <row r="51" spans="1:17" ht="12.75" customHeight="1" x14ac:dyDescent="0.2">
      <c r="A51" s="222"/>
      <c r="B51" s="287" t="s">
        <v>41</v>
      </c>
      <c r="C51" s="287"/>
      <c r="D51" s="295">
        <v>-24</v>
      </c>
      <c r="E51" s="295">
        <v>-44</v>
      </c>
      <c r="F51" s="295">
        <v>-30</v>
      </c>
      <c r="G51" s="295">
        <v>-56</v>
      </c>
      <c r="H51" s="295">
        <v>-297</v>
      </c>
      <c r="I51" s="295">
        <v>-1066</v>
      </c>
      <c r="J51" s="295">
        <v>-1569</v>
      </c>
      <c r="K51" s="295">
        <v>-1680</v>
      </c>
      <c r="L51" s="232">
        <f ca="1">-('Debt Schedule'!G50)</f>
        <v>-902.78762031728047</v>
      </c>
      <c r="M51" s="232">
        <f ca="1">-('Debt Schedule'!H50)</f>
        <v>-901.27878400563736</v>
      </c>
      <c r="N51" s="232">
        <f ca="1">-('Debt Schedule'!I50)</f>
        <v>-1333.5352853689762</v>
      </c>
      <c r="O51" s="232">
        <f ca="1">-('Debt Schedule'!J50)</f>
        <v>-1782.9330783537819</v>
      </c>
      <c r="P51" s="232">
        <f ca="1">-('Debt Schedule'!K50)</f>
        <v>-2121.4982524716302</v>
      </c>
      <c r="Q51" s="232">
        <f ca="1">-('Debt Schedule'!L50)</f>
        <v>-3293.7656851512024</v>
      </c>
    </row>
    <row r="52" spans="1:17" ht="12.75" customHeight="1" x14ac:dyDescent="0.2">
      <c r="A52" s="222"/>
      <c r="B52" s="286" t="s">
        <v>75</v>
      </c>
      <c r="C52" s="287"/>
      <c r="D52" s="233">
        <f>SUM(D50:D51)</f>
        <v>639</v>
      </c>
      <c r="E52" s="233">
        <f t="shared" ref="E52:Q52" si="67">SUM(E50:E51)</f>
        <v>641</v>
      </c>
      <c r="F52" s="233">
        <f t="shared" si="67"/>
        <v>718</v>
      </c>
      <c r="G52" s="233">
        <f t="shared" si="67"/>
        <v>315</v>
      </c>
      <c r="H52" s="233">
        <f t="shared" si="67"/>
        <v>-106</v>
      </c>
      <c r="I52" s="233">
        <f t="shared" si="67"/>
        <v>-910</v>
      </c>
      <c r="J52" s="233">
        <f t="shared" si="67"/>
        <v>-1219</v>
      </c>
      <c r="K52" s="233">
        <f t="shared" si="67"/>
        <v>-1342</v>
      </c>
      <c r="L52" s="233">
        <f t="shared" ca="1" si="67"/>
        <v>-612.89272031728046</v>
      </c>
      <c r="M52" s="233">
        <f t="shared" ca="1" si="67"/>
        <v>-611.38388400563736</v>
      </c>
      <c r="N52" s="233">
        <f t="shared" ca="1" si="67"/>
        <v>-1043.6403853689762</v>
      </c>
      <c r="O52" s="233">
        <f t="shared" ca="1" si="67"/>
        <v>-1493.0381783537819</v>
      </c>
      <c r="P52" s="233">
        <f t="shared" ca="1" si="67"/>
        <v>-1831.6033524716302</v>
      </c>
      <c r="Q52" s="233">
        <f t="shared" ca="1" si="67"/>
        <v>-3003.8707851512027</v>
      </c>
    </row>
    <row r="53" spans="1:17" ht="21" customHeight="1" x14ac:dyDescent="0.2">
      <c r="A53" s="222"/>
      <c r="B53" s="219" t="s">
        <v>96</v>
      </c>
      <c r="C53" s="222"/>
      <c r="D53" s="226">
        <f>D46-D52-D48</f>
        <v>-1005</v>
      </c>
      <c r="E53" s="226">
        <f t="shared" ref="E53:F53" si="68">E46-E52-E48</f>
        <v>-665</v>
      </c>
      <c r="F53" s="226">
        <f t="shared" si="68"/>
        <v>1154</v>
      </c>
      <c r="G53" s="226">
        <f>G46-G52-G48</f>
        <v>6343</v>
      </c>
      <c r="H53" s="226">
        <f t="shared" ref="H53:Q53" si="69">H46-H52-H48</f>
        <v>13719</v>
      </c>
      <c r="I53" s="226">
        <f t="shared" si="69"/>
        <v>9973</v>
      </c>
      <c r="J53" s="226">
        <f t="shared" si="69"/>
        <v>8990</v>
      </c>
      <c r="K53" s="226">
        <f t="shared" si="69"/>
        <v>5278</v>
      </c>
      <c r="L53" s="226">
        <f t="shared" ca="1" si="69"/>
        <v>3531.5572093857081</v>
      </c>
      <c r="M53" s="226">
        <f t="shared" ca="1" si="69"/>
        <v>7814.0233197362286</v>
      </c>
      <c r="N53" s="226">
        <f t="shared" ca="1" si="69"/>
        <v>9895.1864332789664</v>
      </c>
      <c r="O53" s="226">
        <f t="shared" ca="1" si="69"/>
        <v>17050.177333925818</v>
      </c>
      <c r="P53" s="226">
        <f t="shared" ca="1" si="69"/>
        <v>23727.357383516759</v>
      </c>
      <c r="Q53" s="226">
        <f t="shared" ca="1" si="69"/>
        <v>32513.476743871026</v>
      </c>
    </row>
    <row r="54" spans="1:17" ht="12.75" customHeight="1" x14ac:dyDescent="0.2">
      <c r="A54" s="222"/>
      <c r="B54" s="229"/>
      <c r="C54" s="227" t="s">
        <v>97</v>
      </c>
      <c r="D54" s="288">
        <f t="shared" ref="D54:Q54" si="70">D53/D19</f>
        <v>-4.6829131913703928E-2</v>
      </c>
      <c r="E54" s="288">
        <f t="shared" si="70"/>
        <v>-2.7056717389535356E-2</v>
      </c>
      <c r="F54" s="288">
        <f t="shared" si="70"/>
        <v>3.6593099949264331E-2</v>
      </c>
      <c r="G54" s="288">
        <f t="shared" si="70"/>
        <v>0.11784924660461141</v>
      </c>
      <c r="H54" s="288">
        <f t="shared" si="70"/>
        <v>0.16840981070928776</v>
      </c>
      <c r="I54" s="288">
        <f t="shared" si="70"/>
        <v>0.10305560435245369</v>
      </c>
      <c r="J54" s="288">
        <f t="shared" si="70"/>
        <v>9.2025795884942169E-2</v>
      </c>
      <c r="K54" s="288">
        <f t="shared" si="70"/>
        <v>5.5659253166292298E-2</v>
      </c>
      <c r="L54" s="288">
        <f t="shared" ca="1" si="70"/>
        <v>3.1650449985532424E-2</v>
      </c>
      <c r="M54" s="288">
        <f t="shared" ca="1" si="70"/>
        <v>4.6184900524476796E-2</v>
      </c>
      <c r="N54" s="288">
        <f t="shared" ca="1" si="70"/>
        <v>4.6788516736350691E-2</v>
      </c>
      <c r="O54" s="288">
        <f t="shared" ca="1" si="70"/>
        <v>6.4496208367589833E-2</v>
      </c>
      <c r="P54" s="288">
        <f t="shared" ca="1" si="70"/>
        <v>7.1803339324786219E-2</v>
      </c>
      <c r="Q54" s="288">
        <f t="shared" ca="1" si="70"/>
        <v>7.8713399576154461E-2</v>
      </c>
    </row>
    <row r="55" spans="1:17" ht="21" customHeight="1" x14ac:dyDescent="0.2">
      <c r="A55" s="222"/>
      <c r="B55" s="287" t="s">
        <v>46</v>
      </c>
      <c r="C55" s="287"/>
      <c r="D55" s="284">
        <v>58</v>
      </c>
      <c r="E55" s="284">
        <v>110</v>
      </c>
      <c r="F55" s="284">
        <v>292</v>
      </c>
      <c r="G55" s="225">
        <v>699</v>
      </c>
      <c r="H55" s="225">
        <v>1132</v>
      </c>
      <c r="I55" s="225">
        <v>-5001</v>
      </c>
      <c r="J55" s="225">
        <v>1837</v>
      </c>
      <c r="K55" s="225">
        <v>1423</v>
      </c>
      <c r="L55" s="225">
        <f ca="1">L53*L56</f>
        <v>952.14208203028841</v>
      </c>
      <c r="M55" s="225">
        <f t="shared" ref="M55:Q55" ca="1" si="71">M53*M56</f>
        <v>2106.7364880607524</v>
      </c>
      <c r="N55" s="225">
        <f t="shared" ca="1" si="71"/>
        <v>2667.8382520947266</v>
      </c>
      <c r="O55" s="225">
        <f t="shared" ca="1" si="71"/>
        <v>4596.8932069299808</v>
      </c>
      <c r="P55" s="225">
        <f t="shared" ca="1" si="71"/>
        <v>6397.1257212475075</v>
      </c>
      <c r="Q55" s="225">
        <f t="shared" ca="1" si="71"/>
        <v>8765.9487318166848</v>
      </c>
    </row>
    <row r="56" spans="1:17" ht="12.75" customHeight="1" x14ac:dyDescent="0.2">
      <c r="A56" s="222"/>
      <c r="B56" s="291"/>
      <c r="C56" s="227" t="s">
        <v>45</v>
      </c>
      <c r="D56" s="290">
        <f>D55/D53</f>
        <v>-5.7711442786069649E-2</v>
      </c>
      <c r="E56" s="290">
        <f t="shared" ref="E56:K56" si="72">E55/E53</f>
        <v>-0.16541353383458646</v>
      </c>
      <c r="F56" s="290">
        <f t="shared" si="72"/>
        <v>0.2530329289428076</v>
      </c>
      <c r="G56" s="290">
        <f t="shared" si="72"/>
        <v>0.11020022071574964</v>
      </c>
      <c r="H56" s="290">
        <f t="shared" si="72"/>
        <v>8.2513302718857054E-2</v>
      </c>
      <c r="I56" s="290">
        <f t="shared" si="72"/>
        <v>-0.50145392559911761</v>
      </c>
      <c r="J56" s="290">
        <f t="shared" si="72"/>
        <v>0.20433815350389323</v>
      </c>
      <c r="K56" s="290">
        <f t="shared" si="72"/>
        <v>0.26960970064418338</v>
      </c>
      <c r="L56" s="412">
        <f>K56</f>
        <v>0.26960970064418338</v>
      </c>
      <c r="M56" s="412">
        <f t="shared" ref="M56:Q56" si="73">L56</f>
        <v>0.26960970064418338</v>
      </c>
      <c r="N56" s="412">
        <f t="shared" si="73"/>
        <v>0.26960970064418338</v>
      </c>
      <c r="O56" s="412">
        <f t="shared" si="73"/>
        <v>0.26960970064418338</v>
      </c>
      <c r="P56" s="412">
        <f t="shared" si="73"/>
        <v>0.26960970064418338</v>
      </c>
      <c r="Q56" s="412">
        <f t="shared" si="73"/>
        <v>0.26960970064418338</v>
      </c>
    </row>
    <row r="57" spans="1:17" ht="21" customHeight="1" x14ac:dyDescent="0.2">
      <c r="A57" s="222"/>
      <c r="B57" s="219" t="s">
        <v>98</v>
      </c>
      <c r="C57" s="287"/>
      <c r="D57" s="226">
        <f>D53-D55</f>
        <v>-1063</v>
      </c>
      <c r="E57" s="226">
        <f t="shared" ref="E57:Q57" si="74">E53-E55</f>
        <v>-775</v>
      </c>
      <c r="F57" s="226">
        <f t="shared" si="74"/>
        <v>862</v>
      </c>
      <c r="G57" s="226">
        <f t="shared" si="74"/>
        <v>5644</v>
      </c>
      <c r="H57" s="226">
        <f t="shared" si="74"/>
        <v>12587</v>
      </c>
      <c r="I57" s="226">
        <f t="shared" si="74"/>
        <v>14974</v>
      </c>
      <c r="J57" s="226">
        <f t="shared" si="74"/>
        <v>7153</v>
      </c>
      <c r="K57" s="226">
        <f t="shared" si="74"/>
        <v>3855</v>
      </c>
      <c r="L57" s="226">
        <f t="shared" ca="1" si="74"/>
        <v>2579.4151273554198</v>
      </c>
      <c r="M57" s="226">
        <f t="shared" ca="1" si="74"/>
        <v>5707.2868316754757</v>
      </c>
      <c r="N57" s="226">
        <f t="shared" ca="1" si="74"/>
        <v>7227.3481811842394</v>
      </c>
      <c r="O57" s="226">
        <f t="shared" ca="1" si="74"/>
        <v>12453.284126995837</v>
      </c>
      <c r="P57" s="226">
        <f t="shared" ca="1" si="74"/>
        <v>17330.231662269252</v>
      </c>
      <c r="Q57" s="226">
        <f t="shared" ca="1" si="74"/>
        <v>23747.528012054339</v>
      </c>
    </row>
    <row r="58" spans="1:17" ht="21.75" customHeight="1" x14ac:dyDescent="0.2">
      <c r="A58" s="286" t="s">
        <v>47</v>
      </c>
      <c r="B58" s="287"/>
      <c r="C58" s="287"/>
      <c r="D58" s="231"/>
      <c r="E58" s="231"/>
      <c r="F58" s="231"/>
      <c r="G58" s="231"/>
      <c r="H58" s="231"/>
      <c r="I58" s="231"/>
      <c r="J58" s="231"/>
      <c r="K58" s="231"/>
    </row>
    <row r="59" spans="1:17" ht="12.75" customHeight="1" x14ac:dyDescent="0.2">
      <c r="A59" s="222"/>
      <c r="B59" s="222" t="s">
        <v>48</v>
      </c>
      <c r="C59" s="222"/>
      <c r="D59" s="284">
        <v>0</v>
      </c>
      <c r="E59" s="284">
        <v>0</v>
      </c>
      <c r="F59" s="284">
        <v>0</v>
      </c>
      <c r="G59" s="284">
        <v>0</v>
      </c>
      <c r="H59" s="284">
        <v>0</v>
      </c>
      <c r="I59" s="284">
        <v>0</v>
      </c>
      <c r="J59" s="284">
        <v>0</v>
      </c>
      <c r="K59" s="284">
        <v>0</v>
      </c>
      <c r="L59" s="284">
        <v>0</v>
      </c>
      <c r="M59" s="284">
        <v>0</v>
      </c>
      <c r="N59" s="284">
        <v>0</v>
      </c>
      <c r="O59" s="284">
        <v>0</v>
      </c>
      <c r="P59" s="284">
        <v>0</v>
      </c>
      <c r="Q59" s="284">
        <v>0</v>
      </c>
    </row>
    <row r="60" spans="1:17" ht="12.75" customHeight="1" x14ac:dyDescent="0.2">
      <c r="A60" s="222"/>
      <c r="B60" s="222" t="s">
        <v>49</v>
      </c>
      <c r="C60" s="222"/>
      <c r="D60" s="284">
        <v>0</v>
      </c>
      <c r="E60" s="284">
        <v>0</v>
      </c>
      <c r="F60" s="284">
        <v>0</v>
      </c>
      <c r="G60" s="284">
        <v>0</v>
      </c>
      <c r="H60" s="284">
        <v>0</v>
      </c>
      <c r="I60" s="284">
        <v>0</v>
      </c>
      <c r="J60" s="284">
        <v>0</v>
      </c>
      <c r="K60" s="284">
        <v>0</v>
      </c>
      <c r="L60" s="284">
        <v>0</v>
      </c>
      <c r="M60" s="284">
        <v>0</v>
      </c>
      <c r="N60" s="284">
        <v>0</v>
      </c>
      <c r="O60" s="284">
        <v>0</v>
      </c>
      <c r="P60" s="284">
        <v>0</v>
      </c>
      <c r="Q60" s="284">
        <v>0</v>
      </c>
    </row>
    <row r="61" spans="1:17" ht="12.75" customHeight="1" x14ac:dyDescent="0.2">
      <c r="A61" s="222"/>
      <c r="B61" s="222" t="s">
        <v>50</v>
      </c>
      <c r="C61" s="222"/>
      <c r="D61" s="284">
        <v>0</v>
      </c>
      <c r="E61" s="284">
        <v>0</v>
      </c>
      <c r="F61" s="284">
        <v>0</v>
      </c>
      <c r="G61" s="284">
        <v>0</v>
      </c>
      <c r="H61" s="284">
        <v>0</v>
      </c>
      <c r="I61" s="284">
        <v>0</v>
      </c>
      <c r="J61" s="284">
        <v>0</v>
      </c>
      <c r="K61" s="284">
        <v>0</v>
      </c>
      <c r="L61" s="284">
        <v>0</v>
      </c>
      <c r="M61" s="284">
        <v>0</v>
      </c>
      <c r="N61" s="284">
        <v>0</v>
      </c>
      <c r="O61" s="284">
        <v>0</v>
      </c>
      <c r="P61" s="284">
        <v>0</v>
      </c>
      <c r="Q61" s="284">
        <v>0</v>
      </c>
    </row>
    <row r="62" spans="1:17" ht="12.75" customHeight="1" x14ac:dyDescent="0.2">
      <c r="A62" s="222"/>
      <c r="B62" s="222" t="s">
        <v>51</v>
      </c>
      <c r="C62" s="222"/>
      <c r="D62" s="284">
        <v>0</v>
      </c>
      <c r="E62" s="284">
        <v>0</v>
      </c>
      <c r="F62" s="284">
        <v>0</v>
      </c>
      <c r="G62" s="284">
        <v>0</v>
      </c>
      <c r="H62" s="284">
        <v>0</v>
      </c>
      <c r="I62" s="284">
        <v>0</v>
      </c>
      <c r="J62" s="284">
        <v>0</v>
      </c>
      <c r="K62" s="284">
        <v>0</v>
      </c>
      <c r="L62" s="284">
        <v>0</v>
      </c>
      <c r="M62" s="284">
        <v>0</v>
      </c>
      <c r="N62" s="284">
        <v>0</v>
      </c>
      <c r="O62" s="284">
        <v>0</v>
      </c>
      <c r="P62" s="284">
        <v>0</v>
      </c>
      <c r="Q62" s="284">
        <v>0</v>
      </c>
    </row>
    <row r="63" spans="1:17" ht="12.75" customHeight="1" x14ac:dyDescent="0.2">
      <c r="A63" s="222"/>
      <c r="B63" s="286" t="s">
        <v>77</v>
      </c>
      <c r="C63" s="287"/>
      <c r="D63" s="284">
        <v>0</v>
      </c>
      <c r="E63" s="284">
        <v>0</v>
      </c>
      <c r="F63" s="284">
        <v>0</v>
      </c>
      <c r="G63" s="284">
        <v>0</v>
      </c>
      <c r="H63" s="284">
        <v>0</v>
      </c>
      <c r="I63" s="284">
        <v>0</v>
      </c>
      <c r="J63" s="284">
        <v>0</v>
      </c>
      <c r="K63" s="284">
        <v>0</v>
      </c>
      <c r="L63" s="284">
        <v>0</v>
      </c>
      <c r="M63" s="284">
        <v>0</v>
      </c>
      <c r="N63" s="284">
        <v>0</v>
      </c>
      <c r="O63" s="284">
        <v>0</v>
      </c>
      <c r="P63" s="284">
        <v>0</v>
      </c>
      <c r="Q63" s="284">
        <v>0</v>
      </c>
    </row>
    <row r="64" spans="1:17" s="411" customFormat="1" ht="19.5" customHeight="1" x14ac:dyDescent="0.2">
      <c r="A64" s="407"/>
      <c r="B64" s="408" t="s">
        <v>299</v>
      </c>
      <c r="C64" s="408"/>
      <c r="D64" s="413">
        <v>87</v>
      </c>
      <c r="E64" s="413">
        <v>-87</v>
      </c>
      <c r="F64" s="413">
        <v>-141</v>
      </c>
      <c r="G64" s="413">
        <v>-125</v>
      </c>
      <c r="H64" s="413">
        <v>-31</v>
      </c>
      <c r="I64" s="413">
        <v>23</v>
      </c>
      <c r="J64" s="413">
        <v>-62</v>
      </c>
      <c r="K64" s="413">
        <v>-61</v>
      </c>
      <c r="L64" s="413">
        <v>-62</v>
      </c>
      <c r="M64" s="413">
        <v>-61</v>
      </c>
      <c r="N64" s="413">
        <v>-62</v>
      </c>
      <c r="O64" s="413">
        <v>-61</v>
      </c>
      <c r="P64" s="413">
        <v>-62</v>
      </c>
      <c r="Q64" s="413">
        <v>-61</v>
      </c>
    </row>
    <row r="65" spans="1:17" s="222" customFormat="1" ht="21" customHeight="1" x14ac:dyDescent="0.2">
      <c r="B65" s="280" t="s">
        <v>226</v>
      </c>
      <c r="C65" s="282"/>
      <c r="D65" s="296">
        <f>D57+D64</f>
        <v>-976</v>
      </c>
      <c r="E65" s="296">
        <f>E57+E64</f>
        <v>-862</v>
      </c>
      <c r="F65" s="296">
        <f>F57+F64</f>
        <v>721</v>
      </c>
      <c r="G65" s="296">
        <f t="shared" ref="G65:Q65" si="75">G57+G64</f>
        <v>5519</v>
      </c>
      <c r="H65" s="296">
        <f t="shared" si="75"/>
        <v>12556</v>
      </c>
      <c r="I65" s="296">
        <f t="shared" si="75"/>
        <v>14997</v>
      </c>
      <c r="J65" s="296">
        <f t="shared" si="75"/>
        <v>7091</v>
      </c>
      <c r="K65" s="296">
        <f t="shared" si="75"/>
        <v>3794</v>
      </c>
      <c r="L65" s="296">
        <f t="shared" ca="1" si="75"/>
        <v>2517.4151273554198</v>
      </c>
      <c r="M65" s="296">
        <f t="shared" ca="1" si="75"/>
        <v>5646.2868316754757</v>
      </c>
      <c r="N65" s="296">
        <f t="shared" ca="1" si="75"/>
        <v>7165.3481811842394</v>
      </c>
      <c r="O65" s="296">
        <f t="shared" ca="1" si="75"/>
        <v>12392.284126995837</v>
      </c>
      <c r="P65" s="296">
        <f t="shared" ca="1" si="75"/>
        <v>17268.231662269252</v>
      </c>
      <c r="Q65" s="296">
        <f t="shared" ca="1" si="75"/>
        <v>23686.528012054339</v>
      </c>
    </row>
    <row r="66" spans="1:17" ht="12.75" customHeight="1" x14ac:dyDescent="0.2">
      <c r="A66" s="222"/>
      <c r="B66" s="287" t="s">
        <v>225</v>
      </c>
      <c r="C66" s="287"/>
      <c r="D66" s="284">
        <v>0</v>
      </c>
      <c r="E66" s="284">
        <v>8</v>
      </c>
      <c r="F66" s="284">
        <v>31</v>
      </c>
      <c r="G66" s="284">
        <v>0</v>
      </c>
      <c r="H66" s="284">
        <f t="shared" ref="H66:K66" si="76">G66</f>
        <v>0</v>
      </c>
      <c r="I66" s="284">
        <f t="shared" si="76"/>
        <v>0</v>
      </c>
      <c r="J66" s="284">
        <f t="shared" si="76"/>
        <v>0</v>
      </c>
      <c r="K66" s="284">
        <f t="shared" si="76"/>
        <v>0</v>
      </c>
      <c r="L66" s="284">
        <f t="shared" ref="L66" si="77">K66</f>
        <v>0</v>
      </c>
      <c r="M66" s="284">
        <f t="shared" ref="M66" si="78">L66</f>
        <v>0</v>
      </c>
      <c r="N66" s="284">
        <f t="shared" ref="N66" si="79">M66</f>
        <v>0</v>
      </c>
      <c r="O66" s="284">
        <f t="shared" ref="O66" si="80">N66</f>
        <v>0</v>
      </c>
      <c r="P66" s="284">
        <f t="shared" ref="P66" si="81">O66</f>
        <v>0</v>
      </c>
      <c r="Q66" s="284">
        <f t="shared" ref="Q66" si="82">P66</f>
        <v>0</v>
      </c>
    </row>
    <row r="67" spans="1:17" ht="12.75" customHeight="1" x14ac:dyDescent="0.2">
      <c r="A67" s="222"/>
      <c r="B67" s="287" t="s">
        <v>78</v>
      </c>
      <c r="C67" s="291"/>
      <c r="D67" s="294">
        <v>0</v>
      </c>
      <c r="E67" s="294">
        <v>0</v>
      </c>
      <c r="F67" s="294">
        <v>0</v>
      </c>
      <c r="G67" s="294">
        <v>0</v>
      </c>
      <c r="H67" s="294">
        <v>0</v>
      </c>
      <c r="I67" s="294">
        <v>0</v>
      </c>
      <c r="J67" s="294">
        <v>0</v>
      </c>
      <c r="K67" s="294">
        <v>0</v>
      </c>
      <c r="L67" s="294">
        <v>1</v>
      </c>
      <c r="M67" s="294">
        <v>2</v>
      </c>
      <c r="N67" s="294">
        <v>3</v>
      </c>
      <c r="O67" s="294">
        <v>4</v>
      </c>
      <c r="P67" s="294">
        <v>5</v>
      </c>
      <c r="Q67" s="294">
        <v>6</v>
      </c>
    </row>
    <row r="68" spans="1:17" ht="12.75" customHeight="1" x14ac:dyDescent="0.2">
      <c r="A68" s="222"/>
      <c r="B68" s="369" t="s">
        <v>227</v>
      </c>
      <c r="C68" s="291"/>
      <c r="D68" s="293">
        <f>D65-SUM(D66:D67)</f>
        <v>-976</v>
      </c>
      <c r="E68" s="293">
        <f t="shared" ref="E68:Q68" si="83">E65-SUM(E66:E67)</f>
        <v>-870</v>
      </c>
      <c r="F68" s="293">
        <f t="shared" si="83"/>
        <v>690</v>
      </c>
      <c r="G68" s="293">
        <f t="shared" si="83"/>
        <v>5519</v>
      </c>
      <c r="H68" s="293">
        <f t="shared" si="83"/>
        <v>12556</v>
      </c>
      <c r="I68" s="293">
        <f t="shared" si="83"/>
        <v>14997</v>
      </c>
      <c r="J68" s="293">
        <f t="shared" si="83"/>
        <v>7091</v>
      </c>
      <c r="K68" s="293">
        <f t="shared" si="83"/>
        <v>3794</v>
      </c>
      <c r="L68" s="293">
        <f t="shared" ca="1" si="83"/>
        <v>2516.4151273554198</v>
      </c>
      <c r="M68" s="293">
        <f t="shared" ca="1" si="83"/>
        <v>5644.2868316754757</v>
      </c>
      <c r="N68" s="293">
        <f t="shared" ca="1" si="83"/>
        <v>7162.3481811842394</v>
      </c>
      <c r="O68" s="293">
        <f t="shared" ca="1" si="83"/>
        <v>12388.284126995837</v>
      </c>
      <c r="P68" s="293">
        <f t="shared" ca="1" si="83"/>
        <v>17263.231662269252</v>
      </c>
      <c r="Q68" s="293">
        <f t="shared" ca="1" si="83"/>
        <v>23680.528012054339</v>
      </c>
    </row>
    <row r="69" spans="1:17" ht="21" customHeight="1" x14ac:dyDescent="0.2">
      <c r="A69" s="286" t="s">
        <v>53</v>
      </c>
      <c r="B69" s="287"/>
      <c r="C69" s="287"/>
      <c r="D69" s="281"/>
      <c r="E69" s="281"/>
      <c r="F69" s="281"/>
      <c r="G69" s="281"/>
      <c r="H69" s="281"/>
      <c r="I69" s="281"/>
      <c r="J69" s="281"/>
      <c r="K69" s="281"/>
    </row>
    <row r="70" spans="1:17" ht="12.75" customHeight="1" x14ac:dyDescent="0.2">
      <c r="A70" s="222"/>
      <c r="B70" s="287" t="s">
        <v>3</v>
      </c>
      <c r="C70" s="287"/>
      <c r="D70" s="235">
        <f>D68/D73</f>
        <v>-1.1441969519343493</v>
      </c>
      <c r="E70" s="235">
        <f t="shared" ref="E70:Q70" si="84">E68/E73</f>
        <v>-0.98083427282976321</v>
      </c>
      <c r="F70" s="235">
        <f t="shared" si="84"/>
        <v>0.73954983922829587</v>
      </c>
      <c r="G70" s="235">
        <f t="shared" si="84"/>
        <v>1.8651571476850288</v>
      </c>
      <c r="H70" s="235">
        <f t="shared" si="84"/>
        <v>4.0115015974440897</v>
      </c>
      <c r="I70" s="235">
        <f t="shared" si="84"/>
        <v>4.7249527410207941</v>
      </c>
      <c r="J70" s="235">
        <f t="shared" si="84"/>
        <v>2.2180168908351581</v>
      </c>
      <c r="K70" s="235">
        <f t="shared" si="84"/>
        <v>1.1764341085271317</v>
      </c>
      <c r="L70" s="235">
        <f t="shared" ca="1" si="84"/>
        <v>0.77811228427811374</v>
      </c>
      <c r="M70" s="235">
        <f t="shared" ca="1" si="84"/>
        <v>1.7303147859213599</v>
      </c>
      <c r="N70" s="235">
        <f t="shared" ca="1" si="84"/>
        <v>2.1770055261958174</v>
      </c>
      <c r="O70" s="235">
        <f t="shared" ca="1" si="84"/>
        <v>3.7336600744411808</v>
      </c>
      <c r="P70" s="235">
        <f t="shared" ca="1" si="84"/>
        <v>5.1593639158007329</v>
      </c>
      <c r="Q70" s="235">
        <f t="shared" ca="1" si="84"/>
        <v>7.0185323094411203</v>
      </c>
    </row>
    <row r="71" spans="1:17" ht="12.75" customHeight="1" x14ac:dyDescent="0.2">
      <c r="A71" s="222"/>
      <c r="B71" s="297" t="s">
        <v>4</v>
      </c>
      <c r="C71" s="287"/>
      <c r="D71" s="298">
        <f>D68/D74</f>
        <v>-1.1441969519343493</v>
      </c>
      <c r="E71" s="298">
        <f t="shared" ref="E71:Q71" si="85">E68/E74</f>
        <v>-0.98083427282976321</v>
      </c>
      <c r="F71" s="298">
        <f t="shared" si="85"/>
        <v>0.63711911357340723</v>
      </c>
      <c r="G71" s="298">
        <f t="shared" si="85"/>
        <v>1.6299468399291199</v>
      </c>
      <c r="H71" s="298">
        <f t="shared" si="85"/>
        <v>3.6132374100719424</v>
      </c>
      <c r="I71" s="298">
        <f t="shared" si="85"/>
        <v>4.3032998565279774</v>
      </c>
      <c r="J71" s="298">
        <f t="shared" si="85"/>
        <v>2.0271583762149801</v>
      </c>
      <c r="K71" s="298">
        <f t="shared" si="85"/>
        <v>1.0753968253968254</v>
      </c>
      <c r="L71" s="298">
        <f t="shared" ca="1" si="85"/>
        <v>0.71125356906597503</v>
      </c>
      <c r="M71" s="298">
        <f t="shared" ca="1" si="85"/>
        <v>1.5828061782600886</v>
      </c>
      <c r="N71" s="298">
        <f t="shared" ca="1" si="85"/>
        <v>1.992862599105242</v>
      </c>
      <c r="O71" s="298">
        <f t="shared" ca="1" si="85"/>
        <v>3.4202882736045934</v>
      </c>
      <c r="P71" s="298">
        <f t="shared" ca="1" si="85"/>
        <v>4.7296525102107543</v>
      </c>
      <c r="Q71" s="298">
        <f t="shared" ca="1" si="85"/>
        <v>6.4384252343812776</v>
      </c>
    </row>
    <row r="72" spans="1:17" ht="21" customHeight="1" x14ac:dyDescent="0.2">
      <c r="A72" s="286" t="s">
        <v>54</v>
      </c>
      <c r="B72" s="287"/>
      <c r="C72" s="221"/>
      <c r="D72" s="226"/>
      <c r="E72" s="226"/>
      <c r="F72" s="226"/>
      <c r="G72" s="226"/>
      <c r="H72" s="226"/>
      <c r="I72" s="226"/>
      <c r="J72" s="226"/>
      <c r="K72" s="226"/>
    </row>
    <row r="73" spans="1:17" s="222" customFormat="1" ht="12.75" customHeight="1" x14ac:dyDescent="0.2">
      <c r="B73" s="287" t="s">
        <v>3</v>
      </c>
      <c r="C73" s="287"/>
      <c r="D73" s="402">
        <v>853</v>
      </c>
      <c r="E73" s="402">
        <v>887</v>
      </c>
      <c r="F73" s="402">
        <v>933</v>
      </c>
      <c r="G73" s="402">
        <v>2959</v>
      </c>
      <c r="H73" s="402">
        <v>3130</v>
      </c>
      <c r="I73" s="402">
        <v>3174</v>
      </c>
      <c r="J73" s="402">
        <v>3197</v>
      </c>
      <c r="K73" s="402">
        <v>3225</v>
      </c>
      <c r="L73" s="402">
        <v>3234</v>
      </c>
      <c r="M73" s="414">
        <f>L73+28</f>
        <v>3262</v>
      </c>
      <c r="N73" s="414">
        <f t="shared" ref="N73:Q73" si="86">M73+28</f>
        <v>3290</v>
      </c>
      <c r="O73" s="414">
        <f t="shared" si="86"/>
        <v>3318</v>
      </c>
      <c r="P73" s="414">
        <f t="shared" si="86"/>
        <v>3346</v>
      </c>
      <c r="Q73" s="414">
        <f t="shared" si="86"/>
        <v>3374</v>
      </c>
    </row>
    <row r="74" spans="1:17" s="222" customFormat="1" ht="12.75" customHeight="1" x14ac:dyDescent="0.2">
      <c r="A74" s="238"/>
      <c r="B74" s="299" t="s">
        <v>4</v>
      </c>
      <c r="C74" s="299"/>
      <c r="D74" s="403">
        <v>853</v>
      </c>
      <c r="E74" s="403">
        <v>887</v>
      </c>
      <c r="F74" s="403">
        <v>1083</v>
      </c>
      <c r="G74" s="403">
        <v>3386</v>
      </c>
      <c r="H74" s="403">
        <v>3475</v>
      </c>
      <c r="I74" s="403">
        <v>3485</v>
      </c>
      <c r="J74" s="403">
        <v>3498</v>
      </c>
      <c r="K74" s="403">
        <v>3528</v>
      </c>
      <c r="L74" s="402">
        <f>L73+304</f>
        <v>3538</v>
      </c>
      <c r="M74" s="402">
        <f t="shared" ref="M74:Q74" si="87">M73+304</f>
        <v>3566</v>
      </c>
      <c r="N74" s="402">
        <f t="shared" si="87"/>
        <v>3594</v>
      </c>
      <c r="O74" s="402">
        <f t="shared" si="87"/>
        <v>3622</v>
      </c>
      <c r="P74" s="402">
        <f t="shared" si="87"/>
        <v>3650</v>
      </c>
      <c r="Q74" s="402">
        <f t="shared" si="87"/>
        <v>3678</v>
      </c>
    </row>
    <row r="75" spans="1:17" ht="12.75" customHeight="1" x14ac:dyDescent="0.2"/>
    <row r="76" spans="1:17" ht="12.75" customHeight="1" x14ac:dyDescent="0.2"/>
    <row r="77" spans="1:17" ht="12.75" customHeight="1" x14ac:dyDescent="0.2"/>
    <row r="78" spans="1:17" ht="12.75" customHeight="1" x14ac:dyDescent="0.2">
      <c r="B78" s="49"/>
      <c r="C78" s="49"/>
      <c r="D78" s="49"/>
      <c r="E78" s="49"/>
      <c r="G78" s="49"/>
    </row>
    <row r="79" spans="1:17" ht="12.75" customHeight="1" x14ac:dyDescent="0.2">
      <c r="B79" s="49"/>
      <c r="C79" s="49"/>
      <c r="D79" s="49"/>
      <c r="E79" s="49"/>
      <c r="G79" s="49"/>
    </row>
  </sheetData>
  <phoneticPr fontId="1" type="noConversion"/>
  <pageMargins left="0.75" right="0.75" top="1" bottom="1" header="0.5" footer="0.5"/>
  <pageSetup scale="83" orientation="landscape" r:id="rId1"/>
  <headerFooter alignWithMargins="0">
    <oddFooter>&amp;LThe Analyst Exchange&amp;8
On - Line Training
www.theanalystexchange.com
&amp;R&amp;F, &amp;A
&amp;P of &amp;N</oddFooter>
  </headerFooter>
  <rowBreaks count="1" manualBreakCount="1">
    <brk id="49" max="10"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4"/>
  <sheetViews>
    <sheetView zoomScale="90" zoomScaleNormal="90" workbookViewId="0">
      <pane xSplit="3" ySplit="5" topLeftCell="D30" activePane="bottomRight" state="frozen"/>
      <selection activeCell="C5" sqref="C5"/>
      <selection pane="topRight" activeCell="C5" sqref="C5"/>
      <selection pane="bottomLeft" activeCell="C5" sqref="C5"/>
      <selection pane="bottomRight" activeCell="P36" sqref="P36"/>
    </sheetView>
  </sheetViews>
  <sheetFormatPr defaultRowHeight="20.100000000000001" customHeight="1" x14ac:dyDescent="0.2"/>
  <cols>
    <col min="1" max="1" width="2.7109375" style="49" customWidth="1"/>
    <col min="2" max="2" width="2.7109375" style="2" customWidth="1"/>
    <col min="3" max="3" width="61.85546875" style="2" customWidth="1"/>
    <col min="4" max="5" width="9.7109375" style="3" customWidth="1"/>
    <col min="6" max="6" width="9.7109375" style="49" customWidth="1"/>
    <col min="7" max="7" width="9.7109375" style="2" customWidth="1"/>
    <col min="8" max="11" width="9.7109375" style="49" customWidth="1"/>
    <col min="12" max="14" width="9.140625" style="49"/>
    <col min="15" max="17" width="10" style="49" bestFit="1" customWidth="1"/>
    <col min="18" max="16384" width="9.140625" style="49"/>
  </cols>
  <sheetData>
    <row r="1" spans="1:18" ht="30" customHeight="1" x14ac:dyDescent="0.2">
      <c r="A1" s="453"/>
      <c r="B1" s="453"/>
      <c r="C1" s="453"/>
      <c r="E1" s="33"/>
      <c r="F1" s="51"/>
      <c r="G1" s="32"/>
      <c r="H1" s="51"/>
      <c r="I1" s="51"/>
      <c r="J1" s="51"/>
      <c r="K1" s="51"/>
    </row>
    <row r="2" spans="1:18" ht="12.75" customHeight="1" x14ac:dyDescent="0.2">
      <c r="A2" s="30" t="s">
        <v>13</v>
      </c>
      <c r="B2" s="30"/>
      <c r="C2" s="42"/>
      <c r="D2" s="31"/>
      <c r="E2" s="31"/>
      <c r="F2" s="34"/>
      <c r="G2" s="30"/>
      <c r="H2" s="34"/>
      <c r="I2" s="34"/>
      <c r="J2" s="34"/>
      <c r="K2" s="34"/>
      <c r="L2" s="34"/>
      <c r="M2" s="34"/>
      <c r="N2" s="34"/>
      <c r="O2" s="34"/>
      <c r="P2" s="393"/>
      <c r="Q2" s="393"/>
    </row>
    <row r="3" spans="1:18" ht="12.75" customHeight="1" x14ac:dyDescent="0.2">
      <c r="A3" s="4" t="str">
        <f>'Income Statement'!A3</f>
        <v>(in US$ millions except per share amounts)</v>
      </c>
      <c r="B3" s="5"/>
      <c r="C3" s="36"/>
      <c r="D3" s="386"/>
      <c r="E3" s="386"/>
      <c r="F3" s="390"/>
      <c r="G3" s="391" t="s">
        <v>31</v>
      </c>
      <c r="H3" s="387"/>
      <c r="I3" s="388"/>
      <c r="J3" s="387"/>
      <c r="K3" s="389"/>
      <c r="L3" s="45"/>
      <c r="M3" s="45"/>
      <c r="N3" s="46" t="s">
        <v>32</v>
      </c>
      <c r="O3" s="392"/>
      <c r="P3" s="394"/>
      <c r="Q3" s="386"/>
    </row>
    <row r="4" spans="1:18" ht="12.75" customHeight="1" x14ac:dyDescent="0.2">
      <c r="A4" s="4"/>
      <c r="B4" s="5"/>
      <c r="C4" s="36"/>
      <c r="D4" s="36"/>
      <c r="E4" s="36"/>
      <c r="F4" s="35"/>
      <c r="G4" s="35"/>
      <c r="H4" s="35"/>
      <c r="I4" s="35"/>
      <c r="J4" s="35"/>
      <c r="K4" s="35"/>
      <c r="L4" s="35"/>
      <c r="M4" s="35"/>
      <c r="N4" s="35"/>
      <c r="O4" s="35"/>
      <c r="P4" s="35"/>
      <c r="Q4" s="35"/>
    </row>
    <row r="5" spans="1:18" ht="12.75" customHeight="1" x14ac:dyDescent="0.2">
      <c r="A5" s="37" t="s">
        <v>17</v>
      </c>
      <c r="B5" s="38"/>
      <c r="C5" s="41"/>
      <c r="D5" s="47">
        <f>'Income Statement'!D5</f>
        <v>2018</v>
      </c>
      <c r="E5" s="47">
        <f>'Income Statement'!E5</f>
        <v>2019</v>
      </c>
      <c r="F5" s="47">
        <f>'Income Statement'!F5</f>
        <v>2020</v>
      </c>
      <c r="G5" s="47">
        <f>'Income Statement'!G5</f>
        <v>2021</v>
      </c>
      <c r="H5" s="47">
        <f>'Income Statement'!H5</f>
        <v>2022</v>
      </c>
      <c r="I5" s="47">
        <f>'Income Statement'!I5</f>
        <v>2023</v>
      </c>
      <c r="J5" s="47">
        <f>'Income Statement'!J5</f>
        <v>2024</v>
      </c>
      <c r="K5" s="47">
        <f>'Income Statement'!K5</f>
        <v>2025</v>
      </c>
      <c r="L5" s="35" t="s">
        <v>281</v>
      </c>
      <c r="M5" s="35" t="s">
        <v>280</v>
      </c>
      <c r="N5" s="35" t="s">
        <v>282</v>
      </c>
      <c r="O5" s="35" t="s">
        <v>283</v>
      </c>
      <c r="P5" s="35" t="s">
        <v>284</v>
      </c>
      <c r="Q5" s="35" t="s">
        <v>285</v>
      </c>
    </row>
    <row r="6" spans="1:18" ht="21" customHeight="1" x14ac:dyDescent="0.2">
      <c r="A6" s="280" t="s">
        <v>20</v>
      </c>
      <c r="B6" s="280"/>
      <c r="C6" s="280"/>
      <c r="D6" s="300"/>
      <c r="E6" s="300"/>
      <c r="F6" s="300"/>
      <c r="G6" s="300"/>
      <c r="H6" s="300"/>
      <c r="I6" s="300"/>
      <c r="J6" s="300"/>
      <c r="K6" s="300"/>
      <c r="L6" s="50"/>
      <c r="M6" s="50"/>
      <c r="N6" s="50"/>
      <c r="O6" s="50"/>
      <c r="P6" s="50"/>
      <c r="Q6" s="50"/>
    </row>
    <row r="7" spans="1:18" ht="12.75" customHeight="1" x14ac:dyDescent="0.2">
      <c r="A7" s="222"/>
      <c r="B7" s="297" t="s">
        <v>52</v>
      </c>
      <c r="C7" s="287"/>
      <c r="D7" s="303">
        <f>'Income Statement'!D57</f>
        <v>-1063</v>
      </c>
      <c r="E7" s="303">
        <f>'Income Statement'!E57</f>
        <v>-775</v>
      </c>
      <c r="F7" s="303">
        <f>'Income Statement'!F57</f>
        <v>862</v>
      </c>
      <c r="G7" s="303">
        <f>'Income Statement'!G57</f>
        <v>5644</v>
      </c>
      <c r="H7" s="303">
        <f>'Income Statement'!H57</f>
        <v>12587</v>
      </c>
      <c r="I7" s="303">
        <f>'Income Statement'!I57</f>
        <v>14974</v>
      </c>
      <c r="J7" s="303">
        <f>'Income Statement'!J57</f>
        <v>7153</v>
      </c>
      <c r="K7" s="303">
        <f>'Income Statement'!K57</f>
        <v>3855</v>
      </c>
      <c r="L7" s="303">
        <f ca="1">'Income Statement'!L57</f>
        <v>2579.4151273554198</v>
      </c>
      <c r="M7" s="303">
        <f ca="1">'Income Statement'!M57</f>
        <v>5707.2868316754757</v>
      </c>
      <c r="N7" s="303">
        <f ca="1">'Income Statement'!N57</f>
        <v>7227.3481811842394</v>
      </c>
      <c r="O7" s="303">
        <f ca="1">'Income Statement'!O57</f>
        <v>12453.284126995837</v>
      </c>
      <c r="P7" s="303">
        <f ca="1">'Income Statement'!P57</f>
        <v>17330.231662269252</v>
      </c>
      <c r="Q7" s="303">
        <f ca="1">'Income Statement'!Q57</f>
        <v>23747.528012054339</v>
      </c>
      <c r="R7" s="443"/>
    </row>
    <row r="8" spans="1:18" ht="12.75" customHeight="1" x14ac:dyDescent="0.2">
      <c r="A8" s="222"/>
      <c r="B8" s="287" t="s">
        <v>38</v>
      </c>
      <c r="C8" s="287"/>
      <c r="D8" s="303">
        <f>'Income Statement'!D44</f>
        <v>1901</v>
      </c>
      <c r="E8" s="303">
        <f>'Income Statement'!E44</f>
        <v>2154</v>
      </c>
      <c r="F8" s="303">
        <f>'Income Statement'!F44</f>
        <v>2322</v>
      </c>
      <c r="G8" s="303">
        <f>'Income Statement'!G44</f>
        <v>2911</v>
      </c>
      <c r="H8" s="303">
        <f>'Income Statement'!H44</f>
        <v>3747</v>
      </c>
      <c r="I8" s="303">
        <f>'Income Statement'!I44</f>
        <v>4667</v>
      </c>
      <c r="J8" s="303">
        <f>'Income Statement'!J44</f>
        <v>5368</v>
      </c>
      <c r="K8" s="303">
        <f>'Income Statement'!K44</f>
        <v>6148</v>
      </c>
      <c r="L8" s="303">
        <f>'Income Statement'!L44</f>
        <v>8059.1385281385283</v>
      </c>
      <c r="M8" s="303">
        <f>'Income Statement'!M44</f>
        <v>9877.3203463203463</v>
      </c>
      <c r="N8" s="303">
        <f>'Income Statement'!N44</f>
        <v>11210.65367965368</v>
      </c>
      <c r="O8" s="303">
        <f>'Income Statement'!O44</f>
        <v>12543.987012987014</v>
      </c>
      <c r="P8" s="303">
        <f>'Income Statement'!P44</f>
        <v>13710.65367965368</v>
      </c>
      <c r="Q8" s="303">
        <f>'Income Statement'!Q44</f>
        <v>13710.65367965368</v>
      </c>
      <c r="R8" s="443"/>
    </row>
    <row r="9" spans="1:18" ht="12.75" customHeight="1" x14ac:dyDescent="0.2">
      <c r="A9" s="222"/>
      <c r="B9" s="287" t="s">
        <v>93</v>
      </c>
      <c r="C9" s="287"/>
      <c r="D9" s="303">
        <v>749</v>
      </c>
      <c r="E9" s="303">
        <v>898</v>
      </c>
      <c r="F9" s="303">
        <v>1734</v>
      </c>
      <c r="G9" s="303">
        <v>2121</v>
      </c>
      <c r="H9" s="303">
        <v>1560</v>
      </c>
      <c r="I9" s="303">
        <v>1812</v>
      </c>
      <c r="J9" s="303">
        <v>1999</v>
      </c>
      <c r="K9" s="303">
        <v>2825</v>
      </c>
      <c r="L9" s="303">
        <f>'Income Statement'!L41*'Cash Flow Statement'!L10</f>
        <v>3383.2944259739461</v>
      </c>
      <c r="M9" s="303">
        <f>'Income Statement'!M41*'Cash Flow Statement'!M10</f>
        <v>5130.1271189328909</v>
      </c>
      <c r="N9" s="303">
        <f>'Income Statement'!N41*'Cash Flow Statement'!N10</f>
        <v>6412.6588986661145</v>
      </c>
      <c r="O9" s="303">
        <f>'Income Statement'!O41*'Cash Flow Statement'!O10</f>
        <v>7499.6492856122468</v>
      </c>
      <c r="P9" s="303">
        <f>'Income Statement'!P41*'Cash Flow Statement'!P10</f>
        <v>9374.5616070153101</v>
      </c>
      <c r="Q9" s="303">
        <f>'Income Statement'!Q41*'Cash Flow Statement'!Q10</f>
        <v>11718.202008769136</v>
      </c>
      <c r="R9" s="443"/>
    </row>
    <row r="10" spans="1:18" ht="12.75" customHeight="1" x14ac:dyDescent="0.2">
      <c r="A10" s="222"/>
      <c r="B10" s="287"/>
      <c r="C10" s="291" t="s">
        <v>257</v>
      </c>
      <c r="D10" s="415">
        <f>D9/'Income Statement'!D41</f>
        <v>0.16907449209932279</v>
      </c>
      <c r="E10" s="415">
        <f>E9/'Income Statement'!E41</f>
        <v>0.21701304978250363</v>
      </c>
      <c r="F10" s="415">
        <f>F9/'Income Statement'!F41</f>
        <v>0.3740293356341674</v>
      </c>
      <c r="G10" s="415">
        <f>G9/'Income Statement'!G41</f>
        <v>0.29944938585345193</v>
      </c>
      <c r="H10" s="415">
        <f>H9/'Income Statement'!H41</f>
        <v>0.21675698207586494</v>
      </c>
      <c r="I10" s="415">
        <f>I9/'Income Statement'!I41</f>
        <v>0.20663701676359905</v>
      </c>
      <c r="J10" s="415">
        <f>J9/'Income Statement'!J41</f>
        <v>0.19269327164064007</v>
      </c>
      <c r="K10" s="415">
        <f>K9/'Income Statement'!K41</f>
        <v>0.22175994976057775</v>
      </c>
      <c r="L10" s="415">
        <f>K10</f>
        <v>0.22175994976057775</v>
      </c>
      <c r="M10" s="415">
        <f t="shared" ref="M10:Q10" si="0">L10</f>
        <v>0.22175994976057775</v>
      </c>
      <c r="N10" s="415">
        <f t="shared" si="0"/>
        <v>0.22175994976057775</v>
      </c>
      <c r="O10" s="415">
        <f t="shared" si="0"/>
        <v>0.22175994976057775</v>
      </c>
      <c r="P10" s="415">
        <f t="shared" si="0"/>
        <v>0.22175994976057775</v>
      </c>
      <c r="Q10" s="415">
        <f t="shared" si="0"/>
        <v>0.22175994976057775</v>
      </c>
    </row>
    <row r="11" spans="1:18" s="370" customFormat="1" ht="12.75" hidden="1" customHeight="1" x14ac:dyDescent="0.2">
      <c r="B11" s="371" t="s">
        <v>228</v>
      </c>
      <c r="C11" s="371"/>
      <c r="D11" s="379">
        <v>159</v>
      </c>
      <c r="E11" s="379">
        <v>188</v>
      </c>
      <c r="F11" s="379">
        <v>180</v>
      </c>
      <c r="G11" s="379">
        <v>0</v>
      </c>
      <c r="H11" s="379">
        <v>0</v>
      </c>
      <c r="I11" s="379">
        <v>0</v>
      </c>
      <c r="J11" s="379">
        <v>0</v>
      </c>
      <c r="K11" s="379">
        <v>0</v>
      </c>
      <c r="L11" s="395"/>
      <c r="M11" s="395"/>
      <c r="N11" s="395"/>
      <c r="O11" s="395"/>
      <c r="P11" s="395"/>
      <c r="Q11" s="395"/>
    </row>
    <row r="12" spans="1:18" s="370" customFormat="1" ht="12.75" customHeight="1" x14ac:dyDescent="0.2">
      <c r="B12" s="371" t="s">
        <v>229</v>
      </c>
      <c r="C12" s="371"/>
      <c r="D12" s="379">
        <v>85</v>
      </c>
      <c r="E12" s="379">
        <v>193</v>
      </c>
      <c r="F12" s="379">
        <v>202</v>
      </c>
      <c r="G12" s="379">
        <v>140</v>
      </c>
      <c r="H12" s="379">
        <v>177</v>
      </c>
      <c r="I12" s="379">
        <v>463</v>
      </c>
      <c r="J12" s="379">
        <v>335</v>
      </c>
      <c r="K12" s="379">
        <v>362</v>
      </c>
      <c r="L12" s="420">
        <f>AVERAGE(I12:K12)</f>
        <v>386.66666666666669</v>
      </c>
      <c r="M12" s="420">
        <f>L12</f>
        <v>386.66666666666669</v>
      </c>
      <c r="N12" s="420">
        <f t="shared" ref="N12:Q12" si="1">M12</f>
        <v>386.66666666666669</v>
      </c>
      <c r="O12" s="420">
        <f t="shared" si="1"/>
        <v>386.66666666666669</v>
      </c>
      <c r="P12" s="420">
        <f t="shared" si="1"/>
        <v>386.66666666666669</v>
      </c>
      <c r="Q12" s="420">
        <f t="shared" si="1"/>
        <v>386.66666666666669</v>
      </c>
      <c r="R12" s="443"/>
    </row>
    <row r="13" spans="1:18" s="370" customFormat="1" ht="12.75" hidden="1" customHeight="1" x14ac:dyDescent="0.2">
      <c r="B13" s="371" t="s">
        <v>230</v>
      </c>
      <c r="C13" s="371"/>
      <c r="D13" s="379">
        <v>162</v>
      </c>
      <c r="E13" s="379">
        <v>146</v>
      </c>
      <c r="F13" s="379">
        <v>117</v>
      </c>
      <c r="G13" s="379">
        <v>0</v>
      </c>
      <c r="H13" s="379">
        <f t="shared" ref="H13:K13" si="2">G13</f>
        <v>0</v>
      </c>
      <c r="I13" s="379">
        <f t="shared" si="2"/>
        <v>0</v>
      </c>
      <c r="J13" s="379">
        <f t="shared" si="2"/>
        <v>0</v>
      </c>
      <c r="K13" s="379">
        <f t="shared" si="2"/>
        <v>0</v>
      </c>
      <c r="L13" s="395"/>
      <c r="M13" s="395"/>
      <c r="N13" s="395"/>
      <c r="O13" s="395"/>
      <c r="P13" s="395"/>
      <c r="Q13" s="395"/>
    </row>
    <row r="14" spans="1:18" s="52" customFormat="1" ht="12.75" customHeight="1" x14ac:dyDescent="0.2">
      <c r="A14" s="222"/>
      <c r="B14" s="287" t="s">
        <v>303</v>
      </c>
      <c r="C14" s="287"/>
      <c r="D14" s="303">
        <v>-2</v>
      </c>
      <c r="E14" s="303">
        <v>-48</v>
      </c>
      <c r="F14" s="303">
        <v>114</v>
      </c>
      <c r="G14" s="303">
        <v>-55</v>
      </c>
      <c r="H14" s="303">
        <v>81</v>
      </c>
      <c r="I14" s="303">
        <v>-144</v>
      </c>
      <c r="J14" s="303">
        <v>-73</v>
      </c>
      <c r="K14" s="303">
        <v>452</v>
      </c>
      <c r="L14" s="381">
        <f>I14</f>
        <v>-144</v>
      </c>
      <c r="M14" s="381">
        <f t="shared" ref="M14:Q14" si="3">J14</f>
        <v>-73</v>
      </c>
      <c r="N14" s="381">
        <f t="shared" si="3"/>
        <v>452</v>
      </c>
      <c r="O14" s="381">
        <f t="shared" si="3"/>
        <v>-144</v>
      </c>
      <c r="P14" s="381">
        <f t="shared" si="3"/>
        <v>-73</v>
      </c>
      <c r="Q14" s="381">
        <f t="shared" si="3"/>
        <v>452</v>
      </c>
    </row>
    <row r="15" spans="1:18" s="52" customFormat="1" ht="12.75" customHeight="1" x14ac:dyDescent="0.2">
      <c r="A15" s="222"/>
      <c r="B15" s="287" t="s">
        <v>239</v>
      </c>
      <c r="C15" s="287"/>
      <c r="D15" s="303">
        <v>49</v>
      </c>
      <c r="E15" s="303">
        <v>186</v>
      </c>
      <c r="F15" s="303">
        <v>228</v>
      </c>
      <c r="G15" s="303">
        <v>245</v>
      </c>
      <c r="H15" s="303">
        <v>340</v>
      </c>
      <c r="I15" s="303">
        <v>81</v>
      </c>
      <c r="J15" s="303">
        <v>172</v>
      </c>
      <c r="K15" s="303">
        <v>272</v>
      </c>
      <c r="L15" s="381">
        <f>L16*'Income Statement'!L19</f>
        <v>272</v>
      </c>
      <c r="M15" s="381">
        <f>M16*'Income Statement'!M19</f>
        <v>412.43663739021332</v>
      </c>
      <c r="N15" s="381">
        <f>N16*'Income Statement'!N19</f>
        <v>515.54579673776664</v>
      </c>
      <c r="O15" s="381">
        <f>O16*'Income Statement'!O19</f>
        <v>644.43224592220827</v>
      </c>
      <c r="P15" s="381">
        <f>P16*'Income Statement'!P19</f>
        <v>805.54030740276039</v>
      </c>
      <c r="Q15" s="381">
        <f>Q16*'Income Statement'!Q19</f>
        <v>1006.9253842534505</v>
      </c>
    </row>
    <row r="16" spans="1:18" s="52" customFormat="1" ht="12.75" customHeight="1" x14ac:dyDescent="0.2">
      <c r="A16" s="222"/>
      <c r="B16" s="287"/>
      <c r="C16" s="287" t="s">
        <v>323</v>
      </c>
      <c r="D16" s="421">
        <f>D15/'Income Statement'!E19</f>
        <v>1.9936528602815524E-3</v>
      </c>
      <c r="E16" s="421">
        <f>E15/'Income Statement'!F19</f>
        <v>5.8980213089802128E-3</v>
      </c>
      <c r="F16" s="421">
        <f>F15/'Income Statement'!G19</f>
        <v>4.2361072403990863E-3</v>
      </c>
      <c r="G16" s="421">
        <f>G15/'Income Statement'!H19</f>
        <v>3.0075372566349956E-3</v>
      </c>
      <c r="H16" s="421">
        <f>H15/'Income Statement'!I19</f>
        <v>3.5133766649788679E-3</v>
      </c>
      <c r="I16" s="421">
        <f>I15/'Income Statement'!J19</f>
        <v>8.2915344456955674E-4</v>
      </c>
      <c r="J16" s="421">
        <f>J15/'Income Statement'!K19</f>
        <v>1.813829394581712E-3</v>
      </c>
      <c r="K16" s="421">
        <f>K15/'Income Statement'!L19</f>
        <v>2.4377128517655495E-3</v>
      </c>
      <c r="L16" s="421">
        <f>K16</f>
        <v>2.4377128517655495E-3</v>
      </c>
      <c r="M16" s="421">
        <f t="shared" ref="M16:Q16" si="4">L16</f>
        <v>2.4377128517655495E-3</v>
      </c>
      <c r="N16" s="421">
        <f t="shared" si="4"/>
        <v>2.4377128517655495E-3</v>
      </c>
      <c r="O16" s="421">
        <f t="shared" si="4"/>
        <v>2.4377128517655495E-3</v>
      </c>
      <c r="P16" s="421">
        <f t="shared" si="4"/>
        <v>2.4377128517655495E-3</v>
      </c>
      <c r="Q16" s="421">
        <f t="shared" si="4"/>
        <v>2.4377128517655495E-3</v>
      </c>
    </row>
    <row r="17" spans="1:18" s="52" customFormat="1" ht="12" x14ac:dyDescent="0.2">
      <c r="A17" s="222"/>
      <c r="B17" s="287" t="s">
        <v>231</v>
      </c>
      <c r="C17" s="287"/>
      <c r="D17" s="303">
        <v>0</v>
      </c>
      <c r="E17" s="303">
        <v>-188</v>
      </c>
      <c r="F17" s="303">
        <v>0</v>
      </c>
      <c r="G17" s="303">
        <v>0</v>
      </c>
      <c r="H17" s="303">
        <v>0</v>
      </c>
      <c r="I17" s="303">
        <v>0</v>
      </c>
      <c r="J17" s="303">
        <v>0</v>
      </c>
      <c r="K17" s="303">
        <v>0</v>
      </c>
      <c r="L17" s="303">
        <f>K17</f>
        <v>0</v>
      </c>
      <c r="M17" s="303">
        <f t="shared" ref="M17:Q18" si="5">L17</f>
        <v>0</v>
      </c>
      <c r="N17" s="303">
        <f t="shared" si="5"/>
        <v>0</v>
      </c>
      <c r="O17" s="303">
        <f t="shared" si="5"/>
        <v>0</v>
      </c>
      <c r="P17" s="303">
        <f t="shared" si="5"/>
        <v>0</v>
      </c>
      <c r="Q17" s="303">
        <f t="shared" si="5"/>
        <v>0</v>
      </c>
      <c r="R17" s="443"/>
    </row>
    <row r="18" spans="1:18" s="52" customFormat="1" ht="12.75" customHeight="1" x14ac:dyDescent="0.2">
      <c r="A18" s="222"/>
      <c r="B18" s="287" t="s">
        <v>304</v>
      </c>
      <c r="C18" s="287"/>
      <c r="D18" s="303">
        <v>0</v>
      </c>
      <c r="E18" s="303">
        <v>0</v>
      </c>
      <c r="F18" s="303">
        <v>0</v>
      </c>
      <c r="G18" s="303">
        <v>-149</v>
      </c>
      <c r="H18" s="303">
        <v>-196</v>
      </c>
      <c r="I18" s="303">
        <v>-6349</v>
      </c>
      <c r="J18" s="303">
        <v>477</v>
      </c>
      <c r="K18" s="303">
        <v>123</v>
      </c>
      <c r="L18" s="303">
        <f>K18</f>
        <v>123</v>
      </c>
      <c r="M18" s="303">
        <f t="shared" si="5"/>
        <v>123</v>
      </c>
      <c r="N18" s="303">
        <f t="shared" si="5"/>
        <v>123</v>
      </c>
      <c r="O18" s="303">
        <f t="shared" si="5"/>
        <v>123</v>
      </c>
      <c r="P18" s="303">
        <f t="shared" si="5"/>
        <v>123</v>
      </c>
      <c r="Q18" s="303">
        <f t="shared" si="5"/>
        <v>123</v>
      </c>
      <c r="R18" s="443"/>
    </row>
    <row r="19" spans="1:18" s="52" customFormat="1" ht="12.75" customHeight="1" x14ac:dyDescent="0.2">
      <c r="A19" s="222"/>
      <c r="B19" s="287" t="s">
        <v>305</v>
      </c>
      <c r="C19" s="287"/>
      <c r="D19" s="303">
        <v>0</v>
      </c>
      <c r="E19" s="303">
        <v>0</v>
      </c>
      <c r="F19" s="303">
        <v>0</v>
      </c>
      <c r="G19" s="303">
        <v>-27</v>
      </c>
      <c r="H19" s="303">
        <v>140</v>
      </c>
      <c r="I19" s="303">
        <v>0</v>
      </c>
      <c r="J19" s="303">
        <v>-589</v>
      </c>
      <c r="K19" s="303">
        <v>68</v>
      </c>
      <c r="L19" s="422">
        <f>K19</f>
        <v>68</v>
      </c>
      <c r="M19" s="422">
        <f t="shared" ref="M19:Q19" si="6">L19</f>
        <v>68</v>
      </c>
      <c r="N19" s="422">
        <f t="shared" si="6"/>
        <v>68</v>
      </c>
      <c r="O19" s="422">
        <f t="shared" si="6"/>
        <v>68</v>
      </c>
      <c r="P19" s="422">
        <f t="shared" si="6"/>
        <v>68</v>
      </c>
      <c r="Q19" s="422">
        <f t="shared" si="6"/>
        <v>68</v>
      </c>
      <c r="R19" s="443"/>
    </row>
    <row r="20" spans="1:18" ht="12.75" customHeight="1" x14ac:dyDescent="0.2">
      <c r="A20" s="222"/>
      <c r="B20" s="286" t="s">
        <v>232</v>
      </c>
      <c r="C20" s="287"/>
      <c r="D20" s="303"/>
      <c r="E20" s="303"/>
      <c r="F20" s="303"/>
      <c r="G20" s="302"/>
      <c r="H20" s="302"/>
      <c r="I20" s="302"/>
      <c r="J20" s="302"/>
      <c r="K20" s="302"/>
      <c r="L20" s="50"/>
      <c r="M20" s="50"/>
      <c r="N20" s="50"/>
      <c r="O20" s="50"/>
      <c r="P20" s="50"/>
      <c r="Q20" s="50"/>
    </row>
    <row r="21" spans="1:18" ht="12.75" customHeight="1" x14ac:dyDescent="0.2">
      <c r="A21" s="222"/>
      <c r="B21" s="287"/>
      <c r="C21" s="287" t="s">
        <v>237</v>
      </c>
      <c r="D21" s="303">
        <v>-497</v>
      </c>
      <c r="E21" s="303">
        <v>-367</v>
      </c>
      <c r="F21" s="303">
        <v>-652</v>
      </c>
      <c r="G21" s="303">
        <v>-130</v>
      </c>
      <c r="H21" s="303">
        <v>-1124</v>
      </c>
      <c r="I21" s="303">
        <v>-586</v>
      </c>
      <c r="J21" s="303">
        <v>-1083</v>
      </c>
      <c r="K21" s="303">
        <v>-261</v>
      </c>
      <c r="L21" s="302">
        <f>-('Operating Working Capital'!G9-'Operating Working Capital'!F9)</f>
        <v>-715.4809073365177</v>
      </c>
      <c r="M21" s="302">
        <f>-('Operating Working Capital'!H9-'Operating Working Capital'!G9)</f>
        <v>-2732.0506817678506</v>
      </c>
      <c r="N21" s="302">
        <f>-('Operating Working Capital'!I9-'Operating Working Capital'!H9)</f>
        <v>-2005.882897276093</v>
      </c>
      <c r="O21" s="302">
        <f>-('Operating Working Capital'!J9-'Operating Working Capital'!I9)</f>
        <v>-2507.3536215951153</v>
      </c>
      <c r="P21" s="302">
        <f>-('Operating Working Capital'!K9-'Operating Working Capital'!J9)</f>
        <v>-3134.1920269938928</v>
      </c>
      <c r="Q21" s="302">
        <f>-('Operating Working Capital'!L9-'Operating Working Capital'!K9)</f>
        <v>-3917.7400337423696</v>
      </c>
      <c r="R21" s="443"/>
    </row>
    <row r="22" spans="1:18" ht="12.75" customHeight="1" x14ac:dyDescent="0.2">
      <c r="A22" s="222"/>
      <c r="B22" s="287"/>
      <c r="C22" s="287" t="s">
        <v>23</v>
      </c>
      <c r="D22" s="303">
        <v>-1023</v>
      </c>
      <c r="E22" s="303">
        <v>-429</v>
      </c>
      <c r="F22" s="303">
        <v>-422</v>
      </c>
      <c r="G22" s="303">
        <v>-1709</v>
      </c>
      <c r="H22" s="303">
        <v>-6465</v>
      </c>
      <c r="I22" s="303">
        <v>-1195</v>
      </c>
      <c r="J22" s="303">
        <v>937</v>
      </c>
      <c r="K22" s="303">
        <v>-630</v>
      </c>
      <c r="L22" s="302">
        <f>-('Operating Working Capital'!G7-'Operating Working Capital'!F7)</f>
        <v>-2187.8697487457921</v>
      </c>
      <c r="M22" s="302">
        <f>-('Operating Working Capital'!H7-'Operating Working Capital'!G7)</f>
        <v>-7527.749562871888</v>
      </c>
      <c r="N22" s="302">
        <f>-('Operating Working Capital'!I7-'Operating Working Capital'!H7)</f>
        <v>-5526.9048279044182</v>
      </c>
      <c r="O22" s="302">
        <f>-('Operating Working Capital'!J7-'Operating Working Capital'!I7)</f>
        <v>-6908.6310348805309</v>
      </c>
      <c r="P22" s="302">
        <f>-('Operating Working Capital'!K7-'Operating Working Capital'!J7)</f>
        <v>-8635.7887936006518</v>
      </c>
      <c r="Q22" s="302">
        <f>-('Operating Working Capital'!L7-'Operating Working Capital'!K7)</f>
        <v>-10794.735992000824</v>
      </c>
      <c r="R22" s="443"/>
    </row>
    <row r="23" spans="1:18" s="440" customFormat="1" ht="12" x14ac:dyDescent="0.2">
      <c r="B23" s="432"/>
      <c r="C23" s="432" t="s">
        <v>233</v>
      </c>
      <c r="D23" s="441">
        <v>-215</v>
      </c>
      <c r="E23" s="441">
        <v>-764</v>
      </c>
      <c r="F23" s="441">
        <v>-1072</v>
      </c>
      <c r="G23" s="441">
        <v>-2114</v>
      </c>
      <c r="H23" s="441">
        <v>-1570</v>
      </c>
      <c r="I23" s="441">
        <v>-1952</v>
      </c>
      <c r="J23" s="441">
        <v>-590</v>
      </c>
      <c r="K23" s="441">
        <v>-25</v>
      </c>
      <c r="L23" s="442">
        <v>0</v>
      </c>
      <c r="M23" s="442">
        <v>0</v>
      </c>
      <c r="N23" s="442">
        <v>0</v>
      </c>
      <c r="O23" s="442">
        <v>0</v>
      </c>
      <c r="P23" s="442">
        <v>0</v>
      </c>
      <c r="Q23" s="442">
        <v>0</v>
      </c>
      <c r="R23" s="443" t="s">
        <v>307</v>
      </c>
    </row>
    <row r="24" spans="1:18" ht="12" x14ac:dyDescent="0.2">
      <c r="A24" s="222"/>
      <c r="B24" s="287"/>
      <c r="C24" s="287" t="s">
        <v>341</v>
      </c>
      <c r="D24" s="303">
        <v>-82</v>
      </c>
      <c r="E24" s="303">
        <v>-288</v>
      </c>
      <c r="F24" s="303">
        <v>-251</v>
      </c>
      <c r="G24" s="303">
        <v>-1540</v>
      </c>
      <c r="H24" s="303">
        <v>-3713</v>
      </c>
      <c r="I24" s="303">
        <v>-2652</v>
      </c>
      <c r="J24" s="303">
        <v>-3273</v>
      </c>
      <c r="K24" s="303">
        <v>-3181</v>
      </c>
      <c r="L24" s="302">
        <f>-('Operating Working Capital'!G13-'Operating Working Capital'!F13)</f>
        <v>-155.79854263077777</v>
      </c>
      <c r="M24" s="302">
        <f>-('Operating Working Capital'!H13-'Operating Working Capital'!G13)</f>
        <v>-4012.15006310234</v>
      </c>
      <c r="N24" s="302">
        <f>-('Operating Working Capital'!I13-'Operating Working Capital'!H13)</f>
        <v>-2945.7371514332826</v>
      </c>
      <c r="O24" s="302">
        <f>-('Operating Working Capital'!J13-'Operating Working Capital'!I13)</f>
        <v>-2496.6149117522036</v>
      </c>
      <c r="P24" s="302">
        <f>-('Operating Working Capital'!K13-'Operating Working Capital'!J13)</f>
        <v>-4306.3251672296574</v>
      </c>
      <c r="Q24" s="302">
        <f>-('Operating Working Capital'!L13-'Operating Working Capital'!K13)</f>
        <v>-5382.9064590370617</v>
      </c>
      <c r="R24" s="443"/>
    </row>
    <row r="25" spans="1:18" ht="12" hidden="1" x14ac:dyDescent="0.2">
      <c r="A25" s="222"/>
      <c r="B25" s="287"/>
      <c r="C25" s="287" t="s">
        <v>236</v>
      </c>
      <c r="D25" s="303">
        <v>-207</v>
      </c>
      <c r="E25" s="303">
        <v>115</v>
      </c>
      <c r="F25" s="303">
        <v>-344</v>
      </c>
      <c r="G25" s="303">
        <v>0</v>
      </c>
      <c r="H25" s="303">
        <v>0</v>
      </c>
      <c r="I25" s="303">
        <v>0</v>
      </c>
      <c r="J25" s="303">
        <v>0</v>
      </c>
      <c r="K25" s="303">
        <v>0</v>
      </c>
      <c r="L25" s="302">
        <v>0</v>
      </c>
      <c r="M25" s="302">
        <v>0</v>
      </c>
      <c r="N25" s="302">
        <v>0</v>
      </c>
      <c r="O25" s="302">
        <v>0</v>
      </c>
      <c r="P25" s="302">
        <v>0</v>
      </c>
      <c r="Q25" s="302">
        <v>0</v>
      </c>
    </row>
    <row r="26" spans="1:18" ht="12" x14ac:dyDescent="0.2">
      <c r="A26" s="222"/>
      <c r="B26" s="287"/>
      <c r="C26" s="287" t="s">
        <v>306</v>
      </c>
      <c r="D26" s="303">
        <v>1797</v>
      </c>
      <c r="E26" s="303">
        <v>646</v>
      </c>
      <c r="F26" s="303">
        <v>2102</v>
      </c>
      <c r="G26" s="303">
        <v>5367</v>
      </c>
      <c r="H26" s="303">
        <v>8029</v>
      </c>
      <c r="I26" s="303">
        <v>2605</v>
      </c>
      <c r="J26" s="303">
        <v>3588</v>
      </c>
      <c r="K26" s="303">
        <v>4376</v>
      </c>
      <c r="L26" s="302">
        <f>('Operating Working Capital'!G17-'Operating Working Capital'!F17)+('Operating Working Capital'!G19-'Operating Working Capital'!F19)</f>
        <v>21869.773514989418</v>
      </c>
      <c r="M26" s="302">
        <f>('Operating Working Capital'!H17-'Operating Working Capital'!G17)+('Operating Working Capital'!H19-'Operating Working Capital'!G19)</f>
        <v>24625.220210332842</v>
      </c>
      <c r="N26" s="302">
        <f>('Operating Working Capital'!I17-'Operating Working Capital'!H17)+('Operating Working Capital'!I19-'Operating Working Capital'!H19)</f>
        <v>20827.236676090753</v>
      </c>
      <c r="O26" s="302">
        <f>('Operating Working Capital'!J17-'Operating Working Capital'!I17)+('Operating Working Capital'!J19-'Operating Working Capital'!I19)</f>
        <v>7677.8682801554387</v>
      </c>
      <c r="P26" s="302">
        <f>('Operating Working Capital'!K17-'Operating Working Capital'!J17)+('Operating Working Capital'!K19-'Operating Working Capital'!J19)</f>
        <v>6344.5089509478785</v>
      </c>
      <c r="Q26" s="302">
        <f>('Operating Working Capital'!L17-'Operating Working Capital'!K17)+('Operating Working Capital'!L19-'Operating Working Capital'!K19)</f>
        <v>23295.341857510939</v>
      </c>
    </row>
    <row r="27" spans="1:18" ht="12" x14ac:dyDescent="0.2">
      <c r="A27" s="222"/>
      <c r="B27" s="287"/>
      <c r="C27" s="287" t="s">
        <v>234</v>
      </c>
      <c r="D27" s="303">
        <v>406</v>
      </c>
      <c r="E27" s="303">
        <v>801</v>
      </c>
      <c r="F27" s="303">
        <v>321</v>
      </c>
      <c r="G27" s="303">
        <v>793</v>
      </c>
      <c r="H27" s="303">
        <v>1131</v>
      </c>
      <c r="I27" s="303">
        <v>1532</v>
      </c>
      <c r="J27" s="303">
        <v>502</v>
      </c>
      <c r="K27" s="303">
        <v>363</v>
      </c>
      <c r="L27" s="302">
        <f>'Operating Working Capital'!G21-'Operating Working Capital'!F21</f>
        <v>-1553.2183871682114</v>
      </c>
      <c r="M27" s="302">
        <f>'Operating Working Capital'!H21-'Operating Working Capital'!G21</f>
        <v>960.67727545952084</v>
      </c>
      <c r="N27" s="302">
        <f>'Operating Working Capital'!I21-'Operating Working Capital'!H21</f>
        <v>532.18024402332685</v>
      </c>
      <c r="O27" s="302">
        <f>'Operating Working Capital'!J21-'Operating Working Capital'!I21</f>
        <v>31.873116306537213</v>
      </c>
      <c r="P27" s="302">
        <f>'Operating Working Capital'!K21-'Operating Working Capital'!J21</f>
        <v>-99.512248621173512</v>
      </c>
      <c r="Q27" s="302">
        <f>'Operating Working Capital'!L21-'Operating Working Capital'!K21</f>
        <v>582.30132768093472</v>
      </c>
      <c r="R27" s="443" t="s">
        <v>308</v>
      </c>
    </row>
    <row r="28" spans="1:18" ht="12" hidden="1" x14ac:dyDescent="0.2">
      <c r="A28" s="222"/>
      <c r="B28" s="287"/>
      <c r="C28" s="287" t="s">
        <v>238</v>
      </c>
      <c r="D28" s="303">
        <v>-96</v>
      </c>
      <c r="E28" s="303">
        <v>-58</v>
      </c>
      <c r="F28" s="303">
        <v>7</v>
      </c>
      <c r="G28" s="303">
        <v>186</v>
      </c>
      <c r="H28" s="303">
        <v>155</v>
      </c>
      <c r="I28" s="303">
        <v>0</v>
      </c>
      <c r="J28" s="303">
        <v>0</v>
      </c>
      <c r="K28" s="303">
        <v>0</v>
      </c>
    </row>
    <row r="29" spans="1:18" ht="12" hidden="1" x14ac:dyDescent="0.2">
      <c r="A29" s="222"/>
      <c r="B29" s="287"/>
      <c r="C29" s="287" t="s">
        <v>26</v>
      </c>
      <c r="D29" s="303">
        <v>-25</v>
      </c>
      <c r="E29" s="303">
        <v>-5</v>
      </c>
      <c r="F29" s="303">
        <v>495</v>
      </c>
      <c r="G29" s="303">
        <v>0</v>
      </c>
      <c r="H29" s="303">
        <v>0</v>
      </c>
      <c r="I29" s="303">
        <v>0</v>
      </c>
      <c r="J29" s="303">
        <v>0</v>
      </c>
      <c r="K29" s="303">
        <v>0</v>
      </c>
    </row>
    <row r="30" spans="1:18" ht="12.75" customHeight="1" x14ac:dyDescent="0.2">
      <c r="A30" s="222"/>
      <c r="B30" s="287"/>
      <c r="C30" s="286" t="s">
        <v>79</v>
      </c>
      <c r="D30" s="304">
        <f t="shared" ref="D30:F30" si="7">SUM(D21:D29)</f>
        <v>58</v>
      </c>
      <c r="E30" s="304">
        <f t="shared" si="7"/>
        <v>-349</v>
      </c>
      <c r="F30" s="304">
        <f t="shared" si="7"/>
        <v>184</v>
      </c>
      <c r="G30" s="304">
        <f>SUM(G21:G29)-G28</f>
        <v>667</v>
      </c>
      <c r="H30" s="304">
        <f t="shared" ref="H30:K30" si="8">SUM(H21:H29)-H28</f>
        <v>-3712</v>
      </c>
      <c r="I30" s="304">
        <f t="shared" si="8"/>
        <v>-2248</v>
      </c>
      <c r="J30" s="304">
        <f t="shared" si="8"/>
        <v>81</v>
      </c>
      <c r="K30" s="304">
        <f t="shared" si="8"/>
        <v>642</v>
      </c>
      <c r="L30" s="304">
        <f t="shared" ref="L30" si="9">SUM(L21:L29)-L28</f>
        <v>17257.405929108121</v>
      </c>
      <c r="M30" s="304">
        <f t="shared" ref="M30" si="10">SUM(M21:M29)-M28</f>
        <v>11313.947178050284</v>
      </c>
      <c r="N30" s="304">
        <f t="shared" ref="N30" si="11">SUM(N21:N29)-N28</f>
        <v>10880.892043500287</v>
      </c>
      <c r="O30" s="304">
        <f t="shared" ref="O30" si="12">SUM(O21:O29)-O28</f>
        <v>-4202.8581717658744</v>
      </c>
      <c r="P30" s="304">
        <f t="shared" ref="P30" si="13">SUM(P21:P29)-P28</f>
        <v>-9831.3092854974966</v>
      </c>
      <c r="Q30" s="304">
        <f t="shared" ref="Q30" si="14">SUM(Q21:Q29)-Q28</f>
        <v>3782.2607004116203</v>
      </c>
      <c r="R30" s="49" t="s">
        <v>307</v>
      </c>
    </row>
    <row r="31" spans="1:18" ht="12.75" customHeight="1" x14ac:dyDescent="0.2">
      <c r="A31" s="222"/>
      <c r="B31" s="286" t="s">
        <v>100</v>
      </c>
      <c r="C31" s="287"/>
      <c r="D31" s="305">
        <f>D7+SUM(D8:D19)+D30-D10-D16</f>
        <v>2098</v>
      </c>
      <c r="E31" s="305">
        <f t="shared" ref="E31:K31" si="15">E7+SUM(E8:E19)+E30-E10-E16</f>
        <v>2405</v>
      </c>
      <c r="F31" s="305">
        <f t="shared" si="15"/>
        <v>5943</v>
      </c>
      <c r="G31" s="305">
        <f t="shared" si="15"/>
        <v>11497</v>
      </c>
      <c r="H31" s="305">
        <f t="shared" si="15"/>
        <v>14723.999999999998</v>
      </c>
      <c r="I31" s="305">
        <f t="shared" si="15"/>
        <v>13256.000000000002</v>
      </c>
      <c r="J31" s="305">
        <f t="shared" si="15"/>
        <v>14922.999999999998</v>
      </c>
      <c r="K31" s="305">
        <f t="shared" si="15"/>
        <v>14747</v>
      </c>
      <c r="L31" s="305">
        <f t="shared" ref="L31" ca="1" si="16">L7+SUM(L8:L19)+L30-L10-L16</f>
        <v>31984.920677242684</v>
      </c>
      <c r="M31" s="305">
        <f t="shared" ref="M31" ca="1" si="17">M7+SUM(M8:M19)+M30-M10-M16</f>
        <v>32945.784779035879</v>
      </c>
      <c r="N31" s="305">
        <f t="shared" ref="N31" ca="1" si="18">N7+SUM(N8:N19)+N30-N10-N16</f>
        <v>37276.765266408751</v>
      </c>
      <c r="O31" s="305">
        <f t="shared" ref="O31" ca="1" si="19">O7+SUM(O8:O19)+O30-O10-O16</f>
        <v>29372.161166418104</v>
      </c>
      <c r="P31" s="305">
        <f t="shared" ref="P31" ca="1" si="20">P7+SUM(P8:P19)+P30-P10-P16</f>
        <v>31894.344637510178</v>
      </c>
      <c r="Q31" s="305">
        <f t="shared" ref="Q31" ca="1" si="21">Q7+SUM(Q8:Q19)+Q30-Q10-Q16</f>
        <v>54995.236451808894</v>
      </c>
    </row>
    <row r="32" spans="1:18" ht="21" customHeight="1" x14ac:dyDescent="0.2">
      <c r="A32" s="280" t="s">
        <v>21</v>
      </c>
      <c r="B32" s="286"/>
      <c r="C32" s="286"/>
      <c r="D32" s="306"/>
      <c r="E32" s="306"/>
      <c r="F32" s="306"/>
      <c r="G32" s="306"/>
      <c r="H32" s="306"/>
      <c r="I32" s="306"/>
      <c r="J32" s="306"/>
      <c r="K32" s="306"/>
    </row>
    <row r="33" spans="1:18" ht="10.5" customHeight="1" x14ac:dyDescent="0.2">
      <c r="A33" s="280"/>
      <c r="B33" s="287" t="s">
        <v>309</v>
      </c>
      <c r="C33" s="287"/>
      <c r="D33" s="303">
        <v>-2101</v>
      </c>
      <c r="E33" s="303">
        <v>-1327</v>
      </c>
      <c r="F33" s="303">
        <v>-3157</v>
      </c>
      <c r="G33" s="303">
        <v>-6482</v>
      </c>
      <c r="H33" s="303">
        <v>-7158</v>
      </c>
      <c r="I33" s="303">
        <v>-8898</v>
      </c>
      <c r="J33" s="303">
        <v>-11339</v>
      </c>
      <c r="K33" s="303">
        <v>-8527</v>
      </c>
      <c r="R33" s="443" t="s">
        <v>258</v>
      </c>
    </row>
    <row r="34" spans="1:18" ht="12" x14ac:dyDescent="0.2">
      <c r="A34" s="280"/>
      <c r="B34" s="287" t="s">
        <v>240</v>
      </c>
      <c r="C34" s="287"/>
      <c r="D34" s="303">
        <v>-218</v>
      </c>
      <c r="E34" s="303">
        <v>-105</v>
      </c>
      <c r="F34" s="303">
        <v>-75</v>
      </c>
      <c r="G34" s="303">
        <v>-32</v>
      </c>
      <c r="H34" s="303">
        <v>-5</v>
      </c>
      <c r="I34" s="303">
        <v>-1</v>
      </c>
      <c r="J34" s="303">
        <v>-3</v>
      </c>
      <c r="K34" s="303">
        <v>0</v>
      </c>
      <c r="R34" s="443"/>
    </row>
    <row r="35" spans="1:18" ht="12" x14ac:dyDescent="0.2">
      <c r="A35" s="280"/>
      <c r="B35" s="416" t="s">
        <v>259</v>
      </c>
      <c r="C35" s="287"/>
      <c r="D35" s="300">
        <f>SUM(D33:D34)</f>
        <v>-2319</v>
      </c>
      <c r="E35" s="300">
        <f t="shared" ref="E35:K35" si="22">SUM(E33:E34)</f>
        <v>-1432</v>
      </c>
      <c r="F35" s="300">
        <f t="shared" si="22"/>
        <v>-3232</v>
      </c>
      <c r="G35" s="300">
        <f t="shared" si="22"/>
        <v>-6514</v>
      </c>
      <c r="H35" s="300">
        <f t="shared" si="22"/>
        <v>-7163</v>
      </c>
      <c r="I35" s="300">
        <f t="shared" si="22"/>
        <v>-8899</v>
      </c>
      <c r="J35" s="300">
        <f t="shared" si="22"/>
        <v>-11342</v>
      </c>
      <c r="K35" s="300">
        <f t="shared" si="22"/>
        <v>-8527</v>
      </c>
      <c r="L35" s="423">
        <v>-25000</v>
      </c>
      <c r="M35" s="300">
        <v>-20000</v>
      </c>
      <c r="N35" s="300">
        <f>-16000</f>
        <v>-16000</v>
      </c>
      <c r="O35" s="300">
        <f>N35</f>
        <v>-16000</v>
      </c>
      <c r="P35" s="300">
        <v>-14000</v>
      </c>
      <c r="Q35" s="300">
        <f t="shared" ref="P35:Q35" si="23">P35</f>
        <v>-14000</v>
      </c>
      <c r="R35" s="443"/>
    </row>
    <row r="36" spans="1:18" ht="12.75" customHeight="1" x14ac:dyDescent="0.2">
      <c r="A36" s="280"/>
      <c r="B36" s="291" t="s">
        <v>324</v>
      </c>
      <c r="C36" s="287"/>
      <c r="D36" s="421">
        <f>-D35/'Income Statement'!E19</f>
        <v>9.4352673122304498E-2</v>
      </c>
      <c r="E36" s="421">
        <f>-E35/'Income Statement'!F19</f>
        <v>4.5408422120750885E-2</v>
      </c>
      <c r="F36" s="421">
        <f>-F35/'Income Statement'!G19</f>
        <v>6.0048678074429145E-2</v>
      </c>
      <c r="G36" s="421">
        <f>-G35/'Income Statement'!H19</f>
        <v>7.9963664039674934E-2</v>
      </c>
      <c r="H36" s="421">
        <f>-H35/'Income Statement'!I19</f>
        <v>7.4018579562481271E-2</v>
      </c>
      <c r="I36" s="421">
        <f>-I35/'Income Statement'!J19</f>
        <v>9.1094277817586236E-2</v>
      </c>
      <c r="J36" s="421">
        <f>-J35/'Income Statement'!K19</f>
        <v>0.11960728484503359</v>
      </c>
      <c r="K36" s="421">
        <f>-K35/'Income Statement'!L19</f>
        <v>7.6420505466929564E-2</v>
      </c>
      <c r="L36" s="421">
        <f>-L35/'Income Statement'!L19</f>
        <v>0.22405449005198064</v>
      </c>
      <c r="M36" s="421">
        <f>L36</f>
        <v>0.22405449005198064</v>
      </c>
      <c r="N36" s="421">
        <f t="shared" ref="N36:Q36" si="24">M36</f>
        <v>0.22405449005198064</v>
      </c>
      <c r="O36" s="421">
        <f t="shared" si="24"/>
        <v>0.22405449005198064</v>
      </c>
      <c r="P36" s="421">
        <f t="shared" si="24"/>
        <v>0.22405449005198064</v>
      </c>
      <c r="Q36" s="421">
        <f t="shared" si="24"/>
        <v>0.22405449005198064</v>
      </c>
    </row>
    <row r="37" spans="1:18" s="426" customFormat="1" ht="12.75" customHeight="1" x14ac:dyDescent="0.2">
      <c r="A37" s="424"/>
      <c r="B37" s="424" t="s">
        <v>310</v>
      </c>
      <c r="C37" s="424"/>
      <c r="D37" s="425">
        <v>0</v>
      </c>
      <c r="E37" s="425">
        <v>0</v>
      </c>
      <c r="F37" s="425">
        <v>0</v>
      </c>
      <c r="G37" s="425">
        <v>-132</v>
      </c>
      <c r="H37" s="425">
        <v>-5835</v>
      </c>
      <c r="I37" s="425">
        <v>-19112</v>
      </c>
      <c r="J37" s="425">
        <v>-35955</v>
      </c>
      <c r="K37" s="425">
        <v>-37109</v>
      </c>
      <c r="L37" s="425">
        <f>K37</f>
        <v>-37109</v>
      </c>
      <c r="M37" s="425">
        <f t="shared" ref="M37:Q37" si="25">L37</f>
        <v>-37109</v>
      </c>
      <c r="N37" s="425">
        <f t="shared" si="25"/>
        <v>-37109</v>
      </c>
      <c r="O37" s="425">
        <f t="shared" si="25"/>
        <v>-37109</v>
      </c>
      <c r="P37" s="425">
        <f t="shared" si="25"/>
        <v>-37109</v>
      </c>
      <c r="Q37" s="425">
        <f t="shared" si="25"/>
        <v>-37109</v>
      </c>
      <c r="R37" s="443"/>
    </row>
    <row r="38" spans="1:18" ht="12.75" customHeight="1" x14ac:dyDescent="0.2">
      <c r="A38" s="287"/>
      <c r="B38" s="287" t="s">
        <v>311</v>
      </c>
      <c r="C38" s="287"/>
      <c r="D38" s="303">
        <v>0</v>
      </c>
      <c r="E38" s="303">
        <v>0</v>
      </c>
      <c r="F38" s="303">
        <v>0</v>
      </c>
      <c r="G38" s="303">
        <v>0</v>
      </c>
      <c r="H38" s="303">
        <v>22</v>
      </c>
      <c r="I38" s="303">
        <v>12353</v>
      </c>
      <c r="J38" s="303">
        <v>28310</v>
      </c>
      <c r="K38" s="303">
        <v>30158</v>
      </c>
      <c r="L38" s="302">
        <f>7790*3.5</f>
        <v>27265</v>
      </c>
      <c r="M38" s="302">
        <f>L38</f>
        <v>27265</v>
      </c>
      <c r="N38" s="302">
        <f t="shared" ref="N38:Q38" si="26">M38</f>
        <v>27265</v>
      </c>
      <c r="O38" s="302">
        <f t="shared" si="26"/>
        <v>27265</v>
      </c>
      <c r="P38" s="302">
        <f t="shared" si="26"/>
        <v>27265</v>
      </c>
      <c r="Q38" s="302">
        <f t="shared" si="26"/>
        <v>27265</v>
      </c>
      <c r="R38" s="443"/>
    </row>
    <row r="39" spans="1:18" s="426" customFormat="1" ht="12.75" customHeight="1" x14ac:dyDescent="0.2">
      <c r="A39" s="424"/>
      <c r="B39" s="424" t="s">
        <v>312</v>
      </c>
      <c r="C39" s="424"/>
      <c r="D39" s="425"/>
      <c r="E39" s="425"/>
      <c r="F39" s="425"/>
      <c r="G39" s="425">
        <v>272</v>
      </c>
      <c r="H39" s="425">
        <v>936</v>
      </c>
      <c r="I39" s="425">
        <v>138</v>
      </c>
      <c r="J39" s="425">
        <v>200</v>
      </c>
      <c r="K39" s="425">
        <v>0</v>
      </c>
      <c r="L39" s="425">
        <v>0</v>
      </c>
      <c r="M39" s="425">
        <v>0</v>
      </c>
      <c r="N39" s="425">
        <v>0</v>
      </c>
      <c r="O39" s="425">
        <v>0</v>
      </c>
      <c r="P39" s="425">
        <v>0</v>
      </c>
      <c r="Q39" s="425">
        <v>0</v>
      </c>
      <c r="R39" s="443"/>
    </row>
    <row r="40" spans="1:18" ht="12" hidden="1" x14ac:dyDescent="0.2">
      <c r="A40" s="280"/>
      <c r="B40" s="287" t="s">
        <v>241</v>
      </c>
      <c r="C40" s="287"/>
      <c r="D40" s="303">
        <v>0</v>
      </c>
      <c r="E40" s="303">
        <v>46</v>
      </c>
      <c r="F40" s="303">
        <v>123</v>
      </c>
      <c r="G40" s="303">
        <v>6</v>
      </c>
      <c r="H40" s="303">
        <v>76</v>
      </c>
      <c r="I40" s="303">
        <v>0</v>
      </c>
      <c r="J40" s="303">
        <f t="shared" ref="J40:K40" si="27">I40</f>
        <v>0</v>
      </c>
      <c r="K40" s="303">
        <f t="shared" si="27"/>
        <v>0</v>
      </c>
    </row>
    <row r="41" spans="1:18" s="222" customFormat="1" ht="12" hidden="1" x14ac:dyDescent="0.2">
      <c r="A41" s="280"/>
      <c r="B41" s="287" t="s">
        <v>242</v>
      </c>
      <c r="C41" s="287"/>
      <c r="D41" s="303">
        <v>0</v>
      </c>
      <c r="E41" s="303">
        <v>-5</v>
      </c>
      <c r="F41" s="303">
        <v>-10</v>
      </c>
      <c r="G41" s="417">
        <v>-1500</v>
      </c>
      <c r="H41" s="417">
        <v>-9</v>
      </c>
      <c r="I41" s="417">
        <v>0</v>
      </c>
      <c r="J41" s="417">
        <f t="shared" ref="J41:K41" si="28">I41</f>
        <v>0</v>
      </c>
      <c r="K41" s="417">
        <f t="shared" si="28"/>
        <v>0</v>
      </c>
    </row>
    <row r="42" spans="1:18" s="222" customFormat="1" ht="12" hidden="1" x14ac:dyDescent="0.2">
      <c r="A42" s="280"/>
      <c r="B42" s="287" t="s">
        <v>243</v>
      </c>
      <c r="C42" s="287"/>
      <c r="D42" s="307">
        <v>-18</v>
      </c>
      <c r="E42" s="307">
        <v>-45</v>
      </c>
      <c r="F42" s="307">
        <v>-13</v>
      </c>
      <c r="G42" s="307">
        <v>0</v>
      </c>
      <c r="H42" s="307">
        <v>0</v>
      </c>
      <c r="I42" s="307">
        <v>-64</v>
      </c>
      <c r="J42" s="307">
        <f>H42</f>
        <v>0</v>
      </c>
      <c r="K42" s="307">
        <v>0</v>
      </c>
      <c r="L42" s="418"/>
    </row>
    <row r="43" spans="1:18" ht="12.75" customHeight="1" x14ac:dyDescent="0.2">
      <c r="A43" s="222"/>
      <c r="B43" s="286" t="s">
        <v>101</v>
      </c>
      <c r="C43" s="287"/>
      <c r="D43" s="305">
        <f>D35+D37+D38+D39+D40+D41+D42</f>
        <v>-2337</v>
      </c>
      <c r="E43" s="305">
        <f t="shared" ref="E43:Q43" si="29">E35+E37+E38+E39+E40+E41+E42</f>
        <v>-1436</v>
      </c>
      <c r="F43" s="305">
        <f t="shared" si="29"/>
        <v>-3132</v>
      </c>
      <c r="G43" s="305">
        <f t="shared" si="29"/>
        <v>-7868</v>
      </c>
      <c r="H43" s="305">
        <f t="shared" si="29"/>
        <v>-11973</v>
      </c>
      <c r="I43" s="305">
        <f t="shared" si="29"/>
        <v>-15584</v>
      </c>
      <c r="J43" s="305">
        <f t="shared" si="29"/>
        <v>-18787</v>
      </c>
      <c r="K43" s="305">
        <f t="shared" si="29"/>
        <v>-15478</v>
      </c>
      <c r="L43" s="305">
        <f t="shared" si="29"/>
        <v>-34844</v>
      </c>
      <c r="M43" s="305">
        <f t="shared" si="29"/>
        <v>-29844</v>
      </c>
      <c r="N43" s="305">
        <f t="shared" si="29"/>
        <v>-25844</v>
      </c>
      <c r="O43" s="305">
        <f t="shared" si="29"/>
        <v>-25844</v>
      </c>
      <c r="P43" s="305">
        <f t="shared" si="29"/>
        <v>-23844</v>
      </c>
      <c r="Q43" s="305">
        <f t="shared" si="29"/>
        <v>-23844</v>
      </c>
    </row>
    <row r="44" spans="1:18" ht="21" customHeight="1" x14ac:dyDescent="0.2">
      <c r="A44" s="280" t="s">
        <v>22</v>
      </c>
      <c r="B44" s="286"/>
      <c r="C44" s="286"/>
      <c r="D44" s="306"/>
      <c r="E44" s="306"/>
      <c r="F44" s="306"/>
      <c r="G44" s="306"/>
      <c r="H44" s="306"/>
      <c r="I44" s="306"/>
      <c r="J44" s="306"/>
      <c r="K44" s="306"/>
    </row>
    <row r="45" spans="1:18" s="426" customFormat="1" ht="12.75" customHeight="1" x14ac:dyDescent="0.2">
      <c r="B45" s="424" t="s">
        <v>314</v>
      </c>
      <c r="C45" s="424"/>
      <c r="D45" s="425">
        <v>6176</v>
      </c>
      <c r="E45" s="425">
        <v>10669</v>
      </c>
      <c r="F45" s="425">
        <v>9713</v>
      </c>
      <c r="G45" s="425">
        <v>8883</v>
      </c>
      <c r="H45" s="425">
        <v>0</v>
      </c>
      <c r="I45" s="425">
        <v>3931</v>
      </c>
      <c r="J45" s="425">
        <v>5744</v>
      </c>
      <c r="K45" s="425">
        <v>5586</v>
      </c>
      <c r="L45" s="426">
        <f>'Debt Schedule'!G13+'Debt Schedule'!G15+'Debt Schedule'!G22+'Debt Schedule'!G24</f>
        <v>0</v>
      </c>
      <c r="M45" s="426">
        <f>'Debt Schedule'!H13+'Debt Schedule'!H15+'Debt Schedule'!H22+'Debt Schedule'!H24</f>
        <v>0</v>
      </c>
      <c r="N45" s="426">
        <f>'Debt Schedule'!I13+'Debt Schedule'!I15+'Debt Schedule'!I22+'Debt Schedule'!I24</f>
        <v>0</v>
      </c>
      <c r="O45" s="426">
        <f>'Debt Schedule'!J13+'Debt Schedule'!J15+'Debt Schedule'!J22+'Debt Schedule'!J24</f>
        <v>0</v>
      </c>
      <c r="P45" s="426">
        <f>'Debt Schedule'!K13+'Debt Schedule'!K15+'Debt Schedule'!K22+'Debt Schedule'!K24</f>
        <v>0</v>
      </c>
      <c r="Q45" s="426">
        <f>'Debt Schedule'!L13+'Debt Schedule'!L15+'Debt Schedule'!L22+'Debt Schedule'!L24</f>
        <v>0</v>
      </c>
    </row>
    <row r="46" spans="1:18" ht="12.75" hidden="1" customHeight="1" x14ac:dyDescent="0.2">
      <c r="A46" s="222"/>
      <c r="B46" s="287" t="s">
        <v>245</v>
      </c>
      <c r="C46" s="287"/>
      <c r="D46" s="303">
        <v>0</v>
      </c>
      <c r="E46" s="303">
        <v>848</v>
      </c>
      <c r="F46" s="303">
        <v>12269</v>
      </c>
      <c r="G46" s="303">
        <v>0</v>
      </c>
      <c r="H46" s="303">
        <v>0</v>
      </c>
      <c r="I46" s="303">
        <v>0</v>
      </c>
      <c r="J46" s="303">
        <v>0</v>
      </c>
      <c r="K46" s="303">
        <v>0</v>
      </c>
    </row>
    <row r="47" spans="1:18" s="426" customFormat="1" ht="12.75" customHeight="1" x14ac:dyDescent="0.2">
      <c r="A47" s="424"/>
      <c r="B47" s="424" t="s">
        <v>248</v>
      </c>
      <c r="C47" s="424"/>
      <c r="D47" s="425">
        <v>296</v>
      </c>
      <c r="E47" s="425">
        <v>263</v>
      </c>
      <c r="F47" s="425">
        <v>417</v>
      </c>
      <c r="G47" s="425">
        <v>707</v>
      </c>
      <c r="H47" s="425">
        <v>541</v>
      </c>
      <c r="I47" s="425">
        <v>700</v>
      </c>
      <c r="J47" s="425">
        <v>1241</v>
      </c>
      <c r="K47" s="425">
        <v>1186</v>
      </c>
      <c r="R47" s="443"/>
    </row>
    <row r="48" spans="1:18" s="222" customFormat="1" ht="12.75" customHeight="1" x14ac:dyDescent="0.2">
      <c r="A48" s="287"/>
      <c r="B48" s="287" t="s">
        <v>315</v>
      </c>
      <c r="C48" s="287"/>
      <c r="D48" s="303">
        <v>0</v>
      </c>
      <c r="E48" s="303">
        <v>0</v>
      </c>
      <c r="F48" s="303">
        <v>0</v>
      </c>
      <c r="G48" s="303">
        <v>0</v>
      </c>
      <c r="H48" s="303">
        <v>0</v>
      </c>
      <c r="I48" s="303">
        <v>0</v>
      </c>
      <c r="J48" s="303">
        <v>0</v>
      </c>
      <c r="K48" s="303">
        <v>277</v>
      </c>
      <c r="L48" s="303">
        <v>0</v>
      </c>
      <c r="M48" s="303">
        <v>0</v>
      </c>
      <c r="N48" s="303">
        <v>0</v>
      </c>
      <c r="O48" s="303">
        <v>0</v>
      </c>
      <c r="P48" s="303">
        <v>0</v>
      </c>
      <c r="Q48" s="303">
        <v>277</v>
      </c>
    </row>
    <row r="49" spans="1:18" s="222" customFormat="1" ht="12.75" customHeight="1" x14ac:dyDescent="0.2">
      <c r="A49" s="287"/>
      <c r="B49" s="287" t="s">
        <v>316</v>
      </c>
      <c r="C49" s="287"/>
      <c r="D49" s="303">
        <v>0</v>
      </c>
      <c r="E49" s="303">
        <v>0</v>
      </c>
      <c r="F49" s="303">
        <v>0</v>
      </c>
      <c r="G49" s="303">
        <v>0</v>
      </c>
      <c r="H49" s="303">
        <v>0</v>
      </c>
      <c r="I49" s="303">
        <v>0</v>
      </c>
      <c r="J49" s="303">
        <v>0</v>
      </c>
      <c r="K49" s="303">
        <v>-176</v>
      </c>
      <c r="L49" s="303">
        <v>0</v>
      </c>
      <c r="M49" s="303">
        <v>0</v>
      </c>
      <c r="N49" s="303">
        <v>0</v>
      </c>
      <c r="O49" s="303">
        <v>0</v>
      </c>
      <c r="P49" s="303">
        <v>0</v>
      </c>
      <c r="Q49" s="303">
        <v>-176</v>
      </c>
    </row>
    <row r="50" spans="1:18" s="426" customFormat="1" ht="12.75" customHeight="1" x14ac:dyDescent="0.2">
      <c r="B50" s="424" t="s">
        <v>313</v>
      </c>
      <c r="C50" s="424"/>
      <c r="D50" s="425">
        <v>-5247</v>
      </c>
      <c r="E50" s="425">
        <v>-9161</v>
      </c>
      <c r="F50" s="425">
        <v>-11623</v>
      </c>
      <c r="G50" s="425">
        <v>-14167</v>
      </c>
      <c r="H50" s="425">
        <v>-3364</v>
      </c>
      <c r="I50" s="425">
        <v>-1351</v>
      </c>
      <c r="J50" s="425">
        <v>-2500</v>
      </c>
      <c r="K50" s="425">
        <v>-5546</v>
      </c>
      <c r="L50" s="426">
        <f>'Debt Schedule'!G14+'Debt Schedule'!G16+'Debt Schedule'!G23+'Debt Schedule'!G25</f>
        <v>0</v>
      </c>
      <c r="M50" s="426">
        <f>'Debt Schedule'!H14+'Debt Schedule'!H16+'Debt Schedule'!H23+'Debt Schedule'!H25</f>
        <v>0</v>
      </c>
      <c r="N50" s="426">
        <f>'Debt Schedule'!I14+'Debt Schedule'!I16+'Debt Schedule'!I23+'Debt Schedule'!I25</f>
        <v>0</v>
      </c>
      <c r="O50" s="426">
        <f>'Debt Schedule'!J14+'Debt Schedule'!J16+'Debt Schedule'!J23+'Debt Schedule'!J25</f>
        <v>0</v>
      </c>
      <c r="P50" s="426">
        <f>'Debt Schedule'!K14+'Debt Schedule'!K16+'Debt Schedule'!K23+'Debt Schedule'!K25</f>
        <v>0</v>
      </c>
      <c r="Q50" s="426">
        <f>'Debt Schedule'!L14+'Debt Schedule'!L16+'Debt Schedule'!L23+'Debt Schedule'!L25</f>
        <v>0</v>
      </c>
    </row>
    <row r="51" spans="1:18" s="426" customFormat="1" ht="12.75" customHeight="1" x14ac:dyDescent="0.2">
      <c r="B51" s="424" t="s">
        <v>249</v>
      </c>
      <c r="C51" s="424"/>
      <c r="D51" s="425">
        <v>-181</v>
      </c>
      <c r="E51" s="425">
        <v>-321</v>
      </c>
      <c r="F51" s="425">
        <v>-338</v>
      </c>
      <c r="G51" s="425">
        <v>-439</v>
      </c>
      <c r="H51" s="425">
        <v>-502</v>
      </c>
      <c r="I51" s="425">
        <v>-464</v>
      </c>
      <c r="J51" s="425">
        <v>-381</v>
      </c>
      <c r="K51" s="425">
        <v>-104</v>
      </c>
      <c r="L51" s="426" t="s">
        <v>365</v>
      </c>
      <c r="M51" s="426">
        <f>'Debt Schedule'!H31+'Debt Schedule'!H32+'Debt Schedule'!H33+'Debt Schedule'!H34+'Debt Schedule'!H40+'Debt Schedule'!H41+'Debt Schedule'!H42+'Debt Schedule'!H43</f>
        <v>0</v>
      </c>
      <c r="N51" s="426">
        <f>'Debt Schedule'!I31+'Debt Schedule'!I32+'Debt Schedule'!I33+'Debt Schedule'!I34+'Debt Schedule'!I40+'Debt Schedule'!I41+'Debt Schedule'!I42+'Debt Schedule'!I43</f>
        <v>0</v>
      </c>
      <c r="O51" s="426">
        <f>'Debt Schedule'!J31+'Debt Schedule'!J32+'Debt Schedule'!J33+'Debt Schedule'!J34+'Debt Schedule'!J40+'Debt Schedule'!J41+'Debt Schedule'!J42+'Debt Schedule'!J43</f>
        <v>0</v>
      </c>
      <c r="P51" s="426">
        <f>'Debt Schedule'!K31+'Debt Schedule'!K32+'Debt Schedule'!K33+'Debt Schedule'!K34+'Debt Schedule'!K40+'Debt Schedule'!K41+'Debt Schedule'!K42+'Debt Schedule'!K43</f>
        <v>0</v>
      </c>
      <c r="Q51" s="426">
        <f>'Debt Schedule'!L31+'Debt Schedule'!L32+'Debt Schedule'!L33+'Debt Schedule'!L34+'Debt Schedule'!L40+'Debt Schedule'!L41+'Debt Schedule'!L42+'Debt Schedule'!L43</f>
        <v>0</v>
      </c>
    </row>
    <row r="52" spans="1:18" s="426" customFormat="1" ht="12.75" customHeight="1" x14ac:dyDescent="0.2">
      <c r="B52" s="424" t="s">
        <v>250</v>
      </c>
      <c r="C52" s="424"/>
      <c r="D52" s="425">
        <v>-15</v>
      </c>
      <c r="E52" s="425">
        <v>-37</v>
      </c>
      <c r="F52" s="425">
        <v>-6</v>
      </c>
      <c r="G52" s="425">
        <v>-9</v>
      </c>
      <c r="H52" s="425">
        <v>0</v>
      </c>
      <c r="I52" s="425">
        <v>-29</v>
      </c>
      <c r="J52" s="425">
        <v>-14</v>
      </c>
      <c r="K52" s="425">
        <v>-6</v>
      </c>
      <c r="L52" s="450"/>
      <c r="M52" s="450"/>
      <c r="N52" s="450"/>
      <c r="O52" s="450"/>
      <c r="P52" s="450"/>
      <c r="Q52" s="450"/>
    </row>
    <row r="53" spans="1:18" s="222" customFormat="1" ht="12.75" hidden="1" customHeight="1" x14ac:dyDescent="0.2">
      <c r="B53" s="287" t="s">
        <v>246</v>
      </c>
      <c r="C53" s="287"/>
      <c r="D53" s="303">
        <v>-100</v>
      </c>
      <c r="E53" s="303">
        <v>0</v>
      </c>
      <c r="F53" s="303">
        <v>0</v>
      </c>
      <c r="G53" s="303">
        <v>0</v>
      </c>
      <c r="H53" s="303">
        <v>0</v>
      </c>
      <c r="I53" s="303">
        <v>0</v>
      </c>
      <c r="J53" s="303">
        <v>0</v>
      </c>
      <c r="K53" s="303">
        <v>0</v>
      </c>
    </row>
    <row r="54" spans="1:18" s="222" customFormat="1" ht="12.75" hidden="1" customHeight="1" x14ac:dyDescent="0.2">
      <c r="B54" s="287" t="s">
        <v>247</v>
      </c>
      <c r="C54" s="287"/>
      <c r="D54" s="303">
        <v>-559</v>
      </c>
      <c r="E54" s="303">
        <v>-389</v>
      </c>
      <c r="F54" s="303">
        <v>-240</v>
      </c>
      <c r="G54" s="303">
        <v>-9</v>
      </c>
      <c r="H54" s="303">
        <v>0</v>
      </c>
      <c r="I54" s="303">
        <v>0</v>
      </c>
      <c r="J54" s="303">
        <v>0</v>
      </c>
      <c r="K54" s="303">
        <v>0</v>
      </c>
    </row>
    <row r="55" spans="1:18" s="222" customFormat="1" ht="12.75" hidden="1" customHeight="1" x14ac:dyDescent="0.2">
      <c r="B55" s="287" t="s">
        <v>251</v>
      </c>
      <c r="C55" s="287"/>
      <c r="D55" s="303">
        <v>0</v>
      </c>
      <c r="E55" s="303">
        <v>-476</v>
      </c>
      <c r="F55" s="303">
        <v>0</v>
      </c>
      <c r="G55" s="303">
        <f>F55</f>
        <v>0</v>
      </c>
      <c r="H55" s="303">
        <f t="shared" ref="H55:K55" si="30">G55</f>
        <v>0</v>
      </c>
      <c r="I55" s="303">
        <f t="shared" si="30"/>
        <v>0</v>
      </c>
      <c r="J55" s="303">
        <f t="shared" si="30"/>
        <v>0</v>
      </c>
      <c r="K55" s="303">
        <f t="shared" si="30"/>
        <v>0</v>
      </c>
    </row>
    <row r="56" spans="1:18" ht="12.75" hidden="1" customHeight="1" x14ac:dyDescent="0.2">
      <c r="A56" s="222"/>
      <c r="B56" s="287" t="s">
        <v>252</v>
      </c>
      <c r="C56" s="287"/>
      <c r="D56" s="303">
        <v>0</v>
      </c>
      <c r="E56" s="303">
        <v>174</v>
      </c>
      <c r="F56" s="303">
        <v>0</v>
      </c>
      <c r="G56" s="303">
        <f>F56</f>
        <v>0</v>
      </c>
      <c r="H56" s="303">
        <f t="shared" ref="H56:K56" si="31">G56</f>
        <v>0</v>
      </c>
      <c r="I56" s="303">
        <f t="shared" si="31"/>
        <v>0</v>
      </c>
      <c r="J56" s="303">
        <f t="shared" si="31"/>
        <v>0</v>
      </c>
      <c r="K56" s="303">
        <f t="shared" si="31"/>
        <v>0</v>
      </c>
    </row>
    <row r="57" spans="1:18" ht="12.75" customHeight="1" x14ac:dyDescent="0.2">
      <c r="A57" s="222"/>
      <c r="B57" s="287" t="s">
        <v>253</v>
      </c>
      <c r="C57" s="287"/>
      <c r="D57" s="303">
        <f>437-227</f>
        <v>210</v>
      </c>
      <c r="E57" s="303">
        <f>279-311</f>
        <v>-32</v>
      </c>
      <c r="F57" s="303">
        <f>24-208</f>
        <v>-184</v>
      </c>
      <c r="G57" s="303">
        <f>2-161</f>
        <v>-159</v>
      </c>
      <c r="H57" s="303">
        <f>0-157</f>
        <v>-157</v>
      </c>
      <c r="I57" s="303">
        <f>0-144</f>
        <v>-144</v>
      </c>
      <c r="J57" s="303">
        <f>0-104</f>
        <v>-104</v>
      </c>
      <c r="K57" s="303">
        <f>0-78</f>
        <v>-78</v>
      </c>
      <c r="L57" s="247">
        <f>K57</f>
        <v>-78</v>
      </c>
      <c r="M57" s="247">
        <f t="shared" ref="M57:Q57" si="32">L57</f>
        <v>-78</v>
      </c>
      <c r="N57" s="247">
        <f t="shared" si="32"/>
        <v>-78</v>
      </c>
      <c r="O57" s="247">
        <f t="shared" si="32"/>
        <v>-78</v>
      </c>
      <c r="P57" s="247">
        <f t="shared" si="32"/>
        <v>-78</v>
      </c>
      <c r="Q57" s="247">
        <f t="shared" si="32"/>
        <v>-78</v>
      </c>
    </row>
    <row r="58" spans="1:18" ht="12.75" customHeight="1" x14ac:dyDescent="0.2">
      <c r="A58" s="222"/>
      <c r="B58" s="287" t="s">
        <v>244</v>
      </c>
      <c r="C58" s="287"/>
      <c r="D58" s="303">
        <v>-6</v>
      </c>
      <c r="E58" s="303">
        <v>-9</v>
      </c>
      <c r="F58" s="303">
        <v>-35</v>
      </c>
      <c r="G58" s="303">
        <v>-10</v>
      </c>
      <c r="H58" s="303">
        <v>-45</v>
      </c>
      <c r="I58" s="303">
        <v>-54</v>
      </c>
      <c r="J58" s="303">
        <v>-133</v>
      </c>
      <c r="K58" s="303">
        <v>0</v>
      </c>
      <c r="L58" s="247">
        <f>K58</f>
        <v>0</v>
      </c>
      <c r="M58" s="247">
        <f t="shared" ref="M58:P58" si="33">L58</f>
        <v>0</v>
      </c>
      <c r="N58" s="247">
        <f t="shared" si="33"/>
        <v>0</v>
      </c>
      <c r="O58" s="247">
        <f t="shared" si="33"/>
        <v>0</v>
      </c>
      <c r="P58" s="247">
        <f t="shared" si="33"/>
        <v>0</v>
      </c>
      <c r="Q58" s="247">
        <f>P58</f>
        <v>0</v>
      </c>
    </row>
    <row r="59" spans="1:18" ht="12.75" customHeight="1" x14ac:dyDescent="0.2">
      <c r="A59" s="222"/>
      <c r="B59" s="286" t="s">
        <v>317</v>
      </c>
      <c r="C59" s="287"/>
      <c r="D59" s="304">
        <f>SUM(D45:D58)</f>
        <v>574</v>
      </c>
      <c r="E59" s="304">
        <f t="shared" ref="E59:Q59" si="34">SUM(E45:E58)</f>
        <v>1529</v>
      </c>
      <c r="F59" s="304">
        <f t="shared" si="34"/>
        <v>9973</v>
      </c>
      <c r="G59" s="304">
        <f t="shared" si="34"/>
        <v>-5203</v>
      </c>
      <c r="H59" s="304">
        <f t="shared" si="34"/>
        <v>-3527</v>
      </c>
      <c r="I59" s="304">
        <f t="shared" si="34"/>
        <v>2589</v>
      </c>
      <c r="J59" s="304">
        <f t="shared" si="34"/>
        <v>3853</v>
      </c>
      <c r="K59" s="304">
        <f t="shared" si="34"/>
        <v>1139</v>
      </c>
      <c r="L59" s="304">
        <f t="shared" si="34"/>
        <v>-78</v>
      </c>
      <c r="M59" s="304">
        <f t="shared" si="34"/>
        <v>-78</v>
      </c>
      <c r="N59" s="304">
        <f t="shared" si="34"/>
        <v>-78</v>
      </c>
      <c r="O59" s="304">
        <f t="shared" si="34"/>
        <v>-78</v>
      </c>
      <c r="P59" s="304">
        <f t="shared" si="34"/>
        <v>-78</v>
      </c>
      <c r="Q59" s="304">
        <f t="shared" si="34"/>
        <v>23</v>
      </c>
    </row>
    <row r="60" spans="1:18" ht="12.75" customHeight="1" x14ac:dyDescent="0.2">
      <c r="A60" s="222" t="s">
        <v>254</v>
      </c>
      <c r="B60" s="286"/>
      <c r="C60" s="287"/>
      <c r="D60" s="308">
        <v>-23</v>
      </c>
      <c r="E60" s="308">
        <v>8</v>
      </c>
      <c r="F60" s="308">
        <v>334</v>
      </c>
      <c r="G60" s="308">
        <v>-183</v>
      </c>
      <c r="H60" s="308">
        <v>-444</v>
      </c>
      <c r="I60" s="308">
        <v>4</v>
      </c>
      <c r="J60" s="308">
        <v>-141</v>
      </c>
      <c r="K60" s="308">
        <v>171</v>
      </c>
      <c r="L60" s="308">
        <f>I60</f>
        <v>4</v>
      </c>
      <c r="M60" s="308">
        <f t="shared" ref="M60:Q60" si="35">J60</f>
        <v>-141</v>
      </c>
      <c r="N60" s="308">
        <f t="shared" si="35"/>
        <v>171</v>
      </c>
      <c r="O60" s="308">
        <f t="shared" si="35"/>
        <v>4</v>
      </c>
      <c r="P60" s="308">
        <f t="shared" si="35"/>
        <v>-141</v>
      </c>
      <c r="Q60" s="308">
        <f t="shared" si="35"/>
        <v>171</v>
      </c>
      <c r="R60" s="443"/>
    </row>
    <row r="61" spans="1:18" s="378" customFormat="1" ht="12.75" customHeight="1" x14ac:dyDescent="0.2">
      <c r="A61" s="374" t="s">
        <v>318</v>
      </c>
      <c r="B61" s="375"/>
      <c r="C61" s="376"/>
      <c r="D61" s="377">
        <f>D31+D43+D59+D60</f>
        <v>312</v>
      </c>
      <c r="E61" s="377">
        <f t="shared" ref="E61:K61" si="36">E31+E43+E59+E60</f>
        <v>2506</v>
      </c>
      <c r="F61" s="377">
        <f t="shared" si="36"/>
        <v>13118</v>
      </c>
      <c r="G61" s="377">
        <f t="shared" si="36"/>
        <v>-1757</v>
      </c>
      <c r="H61" s="377">
        <f t="shared" si="36"/>
        <v>-1220.0000000000018</v>
      </c>
      <c r="I61" s="377">
        <f t="shared" si="36"/>
        <v>265.00000000000182</v>
      </c>
      <c r="J61" s="377">
        <f t="shared" si="36"/>
        <v>-152.00000000000182</v>
      </c>
      <c r="K61" s="377">
        <f t="shared" si="36"/>
        <v>579</v>
      </c>
      <c r="L61" s="377">
        <f t="shared" ref="L61" ca="1" si="37">L31+L43+L59+L60</f>
        <v>-2933.0793227573158</v>
      </c>
      <c r="M61" s="377">
        <f t="shared" ref="M61" ca="1" si="38">M31+M43+M59+M60</f>
        <v>2882.7847790358792</v>
      </c>
      <c r="N61" s="377">
        <f t="shared" ref="N61" ca="1" si="39">N31+N43+N59+N60</f>
        <v>11525.765266408751</v>
      </c>
      <c r="O61" s="377">
        <f t="shared" ref="O61" ca="1" si="40">O31+O43+O59+O60</f>
        <v>3454.1611664181037</v>
      </c>
      <c r="P61" s="377">
        <f t="shared" ref="P61" ca="1" si="41">P31+P43+P59+P60</f>
        <v>7831.3446375101776</v>
      </c>
      <c r="Q61" s="377">
        <f t="shared" ref="Q61" ca="1" si="42">Q31+Q43+Q59+Q60</f>
        <v>31345.236451808894</v>
      </c>
    </row>
    <row r="62" spans="1:18" ht="12.75" customHeight="1" x14ac:dyDescent="0.2">
      <c r="A62" s="219" t="s">
        <v>255</v>
      </c>
      <c r="B62" s="286"/>
      <c r="C62" s="287"/>
      <c r="D62" s="308">
        <v>3965</v>
      </c>
      <c r="E62" s="308">
        <v>4277</v>
      </c>
      <c r="F62" s="308">
        <v>6783</v>
      </c>
      <c r="G62" s="308">
        <f>F63</f>
        <v>19901</v>
      </c>
      <c r="H62" s="308">
        <f t="shared" ref="H62:K62" si="43">G63</f>
        <v>18144</v>
      </c>
      <c r="I62" s="308">
        <f t="shared" si="43"/>
        <v>16924</v>
      </c>
      <c r="J62" s="308">
        <f t="shared" si="43"/>
        <v>17189</v>
      </c>
      <c r="K62" s="308">
        <f t="shared" si="43"/>
        <v>17037</v>
      </c>
      <c r="L62" s="308">
        <f t="shared" ref="L62" si="44">K63</f>
        <v>17616</v>
      </c>
      <c r="M62" s="308">
        <f t="shared" ref="M62" ca="1" si="45">L63</f>
        <v>14682.920677242684</v>
      </c>
      <c r="N62" s="308">
        <f t="shared" ref="N62" ca="1" si="46">M63</f>
        <v>17565.705456278563</v>
      </c>
      <c r="O62" s="308">
        <f t="shared" ref="O62" ca="1" si="47">N63</f>
        <v>29091.470722687314</v>
      </c>
      <c r="P62" s="308">
        <f t="shared" ref="P62" ca="1" si="48">O63</f>
        <v>32545.631889105418</v>
      </c>
      <c r="Q62" s="308">
        <f t="shared" ref="Q62" ca="1" si="49">P63</f>
        <v>40376.976526615596</v>
      </c>
    </row>
    <row r="63" spans="1:18" s="378" customFormat="1" ht="21" customHeight="1" x14ac:dyDescent="0.2">
      <c r="A63" s="419" t="s">
        <v>319</v>
      </c>
      <c r="B63" s="375"/>
      <c r="C63" s="376"/>
      <c r="D63" s="377">
        <f>D61+D62</f>
        <v>4277</v>
      </c>
      <c r="E63" s="377">
        <f t="shared" ref="E63:Q63" si="50">E61+E62</f>
        <v>6783</v>
      </c>
      <c r="F63" s="377">
        <f t="shared" si="50"/>
        <v>19901</v>
      </c>
      <c r="G63" s="377">
        <f t="shared" si="50"/>
        <v>18144</v>
      </c>
      <c r="H63" s="377">
        <f t="shared" si="50"/>
        <v>16924</v>
      </c>
      <c r="I63" s="377">
        <f t="shared" si="50"/>
        <v>17189</v>
      </c>
      <c r="J63" s="377">
        <f t="shared" si="50"/>
        <v>17037</v>
      </c>
      <c r="K63" s="377">
        <f t="shared" si="50"/>
        <v>17616</v>
      </c>
      <c r="L63" s="377">
        <f t="shared" ca="1" si="50"/>
        <v>14682.920677242684</v>
      </c>
      <c r="M63" s="377">
        <f t="shared" ca="1" si="50"/>
        <v>17565.705456278563</v>
      </c>
      <c r="N63" s="377">
        <f t="shared" ca="1" si="50"/>
        <v>29091.470722687314</v>
      </c>
      <c r="O63" s="377">
        <f t="shared" ca="1" si="50"/>
        <v>32545.631889105418</v>
      </c>
      <c r="P63" s="377">
        <f t="shared" ca="1" si="50"/>
        <v>40376.976526615596</v>
      </c>
      <c r="Q63" s="377">
        <f t="shared" ca="1" si="50"/>
        <v>71722.21297842449</v>
      </c>
    </row>
    <row r="64" spans="1:18" ht="18" customHeight="1" x14ac:dyDescent="0.2">
      <c r="A64" s="286" t="s">
        <v>19</v>
      </c>
      <c r="B64" s="287"/>
      <c r="C64" s="286"/>
      <c r="D64" s="300"/>
      <c r="E64" s="300"/>
      <c r="F64" s="300"/>
      <c r="G64" s="300"/>
      <c r="H64" s="300"/>
      <c r="I64" s="300"/>
      <c r="J64" s="300"/>
      <c r="K64" s="300"/>
    </row>
    <row r="65" spans="1:17" s="411" customFormat="1" ht="16.5" customHeight="1" x14ac:dyDescent="0.2">
      <c r="A65" s="407"/>
      <c r="B65" s="428" t="s">
        <v>56</v>
      </c>
      <c r="C65" s="407"/>
      <c r="D65" s="429"/>
      <c r="E65" s="429"/>
      <c r="F65" s="429"/>
      <c r="G65" s="429"/>
      <c r="H65" s="429"/>
      <c r="I65" s="429"/>
      <c r="J65" s="429"/>
      <c r="K65" s="429"/>
      <c r="L65" s="449">
        <f ca="1">L31+L43+L60+L57</f>
        <v>-2933.0793227573158</v>
      </c>
      <c r="M65" s="449">
        <f t="shared" ref="M65:Q65" ca="1" si="51">M31+M43+M60+M57</f>
        <v>2882.7847790358792</v>
      </c>
      <c r="N65" s="449">
        <f t="shared" ca="1" si="51"/>
        <v>11525.765266408751</v>
      </c>
      <c r="O65" s="449">
        <f t="shared" ca="1" si="51"/>
        <v>3454.1611664181037</v>
      </c>
      <c r="P65" s="449">
        <f t="shared" ca="1" si="51"/>
        <v>7831.3446375101776</v>
      </c>
      <c r="Q65" s="449">
        <f t="shared" ca="1" si="51"/>
        <v>31244.236451808894</v>
      </c>
    </row>
    <row r="66" spans="1:17" ht="12.75" customHeight="1" x14ac:dyDescent="0.2">
      <c r="A66" s="347"/>
      <c r="B66" s="280" t="s">
        <v>256</v>
      </c>
      <c r="C66" s="297"/>
      <c r="D66" s="373"/>
      <c r="E66" s="373"/>
      <c r="F66" s="373"/>
      <c r="G66" s="373"/>
      <c r="H66" s="373"/>
      <c r="I66" s="373"/>
      <c r="J66" s="373"/>
      <c r="K66" s="373"/>
    </row>
    <row r="67" spans="1:17" ht="12.75" customHeight="1" x14ac:dyDescent="0.2">
      <c r="A67" s="347"/>
      <c r="B67" s="287"/>
      <c r="C67" s="287" t="s">
        <v>320</v>
      </c>
      <c r="D67" s="373"/>
      <c r="E67" s="373"/>
      <c r="F67" s="373"/>
      <c r="G67" s="373"/>
      <c r="H67" s="373"/>
      <c r="I67" s="373"/>
      <c r="J67" s="373"/>
      <c r="K67" s="373"/>
    </row>
    <row r="68" spans="1:17" ht="12.75" customHeight="1" x14ac:dyDescent="0.2">
      <c r="A68" s="280"/>
      <c r="B68" s="280" t="s">
        <v>321</v>
      </c>
      <c r="C68" s="280"/>
      <c r="D68" s="373"/>
      <c r="E68" s="373"/>
      <c r="F68" s="373"/>
      <c r="G68" s="373"/>
      <c r="H68" s="373"/>
      <c r="I68" s="373"/>
      <c r="J68" s="373"/>
      <c r="K68" s="373"/>
    </row>
    <row r="69" spans="1:17" ht="12.75" customHeight="1" x14ac:dyDescent="0.2">
      <c r="A69" s="347"/>
      <c r="B69" s="297"/>
      <c r="C69" s="297" t="s">
        <v>322</v>
      </c>
      <c r="D69" s="373"/>
      <c r="E69" s="373"/>
      <c r="F69" s="373"/>
      <c r="G69" s="373"/>
      <c r="H69" s="373"/>
      <c r="I69" s="373"/>
      <c r="J69" s="373"/>
      <c r="K69" s="373"/>
    </row>
    <row r="70" spans="1:17" ht="12.75" customHeight="1" x14ac:dyDescent="0.2"/>
    <row r="71" spans="1:17" ht="12.75" customHeight="1" x14ac:dyDescent="0.2"/>
    <row r="72" spans="1:17" ht="12.75" customHeight="1" x14ac:dyDescent="0.2"/>
    <row r="73" spans="1:17" ht="12.75" customHeight="1" x14ac:dyDescent="0.2"/>
    <row r="74" spans="1:17" ht="12.75" customHeight="1" x14ac:dyDescent="0.2"/>
  </sheetData>
  <mergeCells count="1">
    <mergeCell ref="A1:C1"/>
  </mergeCells>
  <phoneticPr fontId="1" type="noConversion"/>
  <pageMargins left="0.75" right="0.75" top="1" bottom="1" header="0.5" footer="0.5"/>
  <pageSetup scale="83" orientation="landscape" r:id="rId1"/>
  <headerFooter alignWithMargins="0">
    <oddFooter>&amp;LThe Analyst Exchange&amp;8
On - Line Training
www.theanalystexchange.com
&amp;R&amp;F, &amp;A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3"/>
  <sheetViews>
    <sheetView zoomScaleNormal="100" workbookViewId="0">
      <pane xSplit="3" ySplit="5" topLeftCell="E7" activePane="bottomRight" state="frozen"/>
      <selection activeCell="C5" sqref="C5"/>
      <selection pane="topRight" activeCell="C5" sqref="C5"/>
      <selection pane="bottomLeft" activeCell="C5" sqref="C5"/>
      <selection pane="bottomRight" activeCell="B34" sqref="B34"/>
    </sheetView>
  </sheetViews>
  <sheetFormatPr defaultRowHeight="20.100000000000001" customHeight="1" x14ac:dyDescent="0.2"/>
  <cols>
    <col min="1" max="1" width="2.7109375" style="49" customWidth="1"/>
    <col min="2" max="2" width="2.7109375" style="2" customWidth="1"/>
    <col min="3" max="3" width="54.7109375" style="2" customWidth="1"/>
    <col min="4" max="4" width="9.7109375" style="3" customWidth="1"/>
    <col min="5" max="5" width="9.7109375" style="49" customWidth="1"/>
    <col min="6" max="6" width="9.7109375" style="2" customWidth="1"/>
    <col min="7" max="10" width="9.7109375" style="49" customWidth="1"/>
    <col min="11" max="11" width="10.5703125" style="49" customWidth="1"/>
    <col min="12" max="12" width="11.85546875" style="49" customWidth="1"/>
    <col min="13" max="14" width="9.140625" style="49"/>
    <col min="15" max="16" width="10" style="49" bestFit="1" customWidth="1"/>
    <col min="17" max="16384" width="9.140625" style="49"/>
  </cols>
  <sheetData>
    <row r="1" spans="1:16" ht="30" customHeight="1" x14ac:dyDescent="0.2">
      <c r="A1" s="453"/>
      <c r="B1" s="453"/>
      <c r="C1" s="453"/>
      <c r="D1" s="51"/>
      <c r="E1" s="51"/>
      <c r="F1" s="32"/>
      <c r="G1" s="51"/>
      <c r="H1" s="51"/>
      <c r="I1" s="51"/>
      <c r="J1" s="51"/>
    </row>
    <row r="2" spans="1:16" ht="12.75" customHeight="1" x14ac:dyDescent="0.2">
      <c r="A2" s="30" t="s">
        <v>15</v>
      </c>
      <c r="B2" s="53"/>
      <c r="C2" s="30"/>
      <c r="D2" s="31"/>
      <c r="E2" s="34"/>
      <c r="F2" s="30"/>
      <c r="G2" s="34"/>
      <c r="H2" s="34"/>
      <c r="I2" s="34"/>
      <c r="J2" s="34"/>
      <c r="K2" s="34"/>
      <c r="L2" s="34"/>
      <c r="M2" s="34"/>
      <c r="N2" s="34"/>
      <c r="O2" s="393"/>
      <c r="P2" s="393"/>
    </row>
    <row r="3" spans="1:16" ht="12.75" customHeight="1" x14ac:dyDescent="0.2">
      <c r="A3" s="4" t="str">
        <f>'Cash Flow Statement'!A3</f>
        <v>(in US$ millions except per share amounts)</v>
      </c>
      <c r="B3" s="4"/>
      <c r="C3" s="5"/>
      <c r="D3" s="386"/>
      <c r="E3" s="386"/>
      <c r="F3" s="390"/>
      <c r="G3" s="391" t="s">
        <v>31</v>
      </c>
      <c r="H3" s="387"/>
      <c r="I3" s="388"/>
      <c r="J3" s="387"/>
      <c r="K3" s="427"/>
      <c r="L3" s="45"/>
      <c r="M3" s="45"/>
      <c r="N3" s="46" t="s">
        <v>32</v>
      </c>
      <c r="O3" s="392"/>
      <c r="P3" s="394"/>
    </row>
    <row r="4" spans="1:16" ht="12.75" customHeight="1" x14ac:dyDescent="0.2">
      <c r="A4" s="4"/>
      <c r="B4" s="4"/>
      <c r="C4" s="5"/>
      <c r="D4" s="36"/>
      <c r="E4" s="35"/>
      <c r="F4" s="35"/>
      <c r="G4" s="35"/>
      <c r="H4" s="35"/>
      <c r="I4" s="35"/>
      <c r="J4" s="35"/>
      <c r="K4" s="35"/>
      <c r="L4" s="35"/>
      <c r="M4" s="35"/>
      <c r="N4" s="35"/>
      <c r="O4" s="35"/>
      <c r="P4" s="35"/>
    </row>
    <row r="5" spans="1:16" ht="12.75" customHeight="1" x14ac:dyDescent="0.2">
      <c r="A5" s="37" t="s">
        <v>18</v>
      </c>
      <c r="B5" s="4"/>
      <c r="C5" s="38"/>
      <c r="D5" s="47">
        <f>'Income Statement'!E5</f>
        <v>2019</v>
      </c>
      <c r="E5" s="47">
        <f>'Income Statement'!F5</f>
        <v>2020</v>
      </c>
      <c r="F5" s="47">
        <f>'Income Statement'!G5</f>
        <v>2021</v>
      </c>
      <c r="G5" s="47">
        <f>'Income Statement'!H5</f>
        <v>2022</v>
      </c>
      <c r="H5" s="47">
        <f>'Income Statement'!I5</f>
        <v>2023</v>
      </c>
      <c r="I5" s="47">
        <f>'Income Statement'!J5</f>
        <v>2024</v>
      </c>
      <c r="J5" s="47">
        <f>'Income Statement'!K5</f>
        <v>2025</v>
      </c>
      <c r="K5" s="47" t="s">
        <v>281</v>
      </c>
      <c r="L5" s="47" t="s">
        <v>280</v>
      </c>
      <c r="M5" s="47" t="s">
        <v>282</v>
      </c>
      <c r="N5" s="47" t="s">
        <v>283</v>
      </c>
      <c r="O5" s="47" t="s">
        <v>284</v>
      </c>
      <c r="P5" s="47" t="s">
        <v>285</v>
      </c>
    </row>
    <row r="6" spans="1:16" s="2" customFormat="1" ht="21" customHeight="1" x14ac:dyDescent="0.2">
      <c r="A6" s="310" t="s">
        <v>5</v>
      </c>
      <c r="B6" s="310"/>
      <c r="C6" s="310"/>
      <c r="D6" s="310"/>
      <c r="E6" s="310"/>
      <c r="F6" s="300"/>
      <c r="G6" s="300"/>
      <c r="H6" s="300"/>
      <c r="I6" s="300"/>
      <c r="J6" s="300"/>
    </row>
    <row r="7" spans="1:16" s="2" customFormat="1" ht="12.75" customHeight="1" x14ac:dyDescent="0.2">
      <c r="A7" s="287"/>
      <c r="B7" s="286" t="s">
        <v>57</v>
      </c>
      <c r="C7" s="287"/>
      <c r="D7" s="287"/>
      <c r="E7" s="287"/>
      <c r="F7" s="302"/>
      <c r="G7" s="302"/>
      <c r="H7" s="302"/>
      <c r="I7" s="302"/>
      <c r="J7" s="302"/>
    </row>
    <row r="8" spans="1:16" s="2" customFormat="1" ht="12.75" customHeight="1" x14ac:dyDescent="0.2">
      <c r="A8" s="287"/>
      <c r="B8" s="287"/>
      <c r="C8" s="287" t="s">
        <v>24</v>
      </c>
      <c r="D8" s="303">
        <v>6268</v>
      </c>
      <c r="E8" s="303">
        <v>19384</v>
      </c>
      <c r="F8" s="303">
        <v>17576</v>
      </c>
      <c r="G8" s="303">
        <v>16253</v>
      </c>
      <c r="H8" s="303">
        <v>16398</v>
      </c>
      <c r="I8" s="303">
        <v>16139</v>
      </c>
      <c r="J8" s="303">
        <v>16513</v>
      </c>
      <c r="K8" s="302">
        <f ca="1">J8+'Cash Flow Statement'!L61</f>
        <v>13579.920677242684</v>
      </c>
      <c r="L8" s="302">
        <f ca="1">K8+'Cash Flow Statement'!M61</f>
        <v>16462.705456278563</v>
      </c>
      <c r="M8" s="302">
        <f ca="1">L8+'Cash Flow Statement'!N61</f>
        <v>27988.470722687314</v>
      </c>
      <c r="N8" s="302">
        <f ca="1">M8+'Cash Flow Statement'!O61</f>
        <v>31442.631889105418</v>
      </c>
      <c r="O8" s="302">
        <f ca="1">N8+'Cash Flow Statement'!P61</f>
        <v>39273.976526615596</v>
      </c>
      <c r="P8" s="302">
        <f ca="1">O8+'Cash Flow Statement'!Q61</f>
        <v>70619.21297842449</v>
      </c>
    </row>
    <row r="9" spans="1:16" s="2" customFormat="1" ht="12.75" customHeight="1" x14ac:dyDescent="0.2">
      <c r="A9" s="287"/>
      <c r="B9" s="287"/>
      <c r="C9" s="287" t="s">
        <v>325</v>
      </c>
      <c r="D9" s="303"/>
      <c r="E9" s="303">
        <v>0</v>
      </c>
      <c r="F9" s="303">
        <v>131</v>
      </c>
      <c r="G9" s="303">
        <v>5932</v>
      </c>
      <c r="H9" s="303">
        <v>12696</v>
      </c>
      <c r="I9" s="303">
        <v>20424</v>
      </c>
      <c r="J9" s="303">
        <v>27546</v>
      </c>
      <c r="K9" s="302">
        <f>J9-'Cash Flow Statement'!L37-'Cash Flow Statement'!L38-'Cash Flow Statement'!L39</f>
        <v>37390</v>
      </c>
      <c r="L9" s="302">
        <f>K9-'Cash Flow Statement'!M37-'Cash Flow Statement'!M38-'Cash Flow Statement'!M39</f>
        <v>47234</v>
      </c>
      <c r="M9" s="302">
        <f>L9-'Cash Flow Statement'!N37-'Cash Flow Statement'!N38-'Cash Flow Statement'!N39</f>
        <v>57078</v>
      </c>
      <c r="N9" s="302">
        <f>M9-'Cash Flow Statement'!O37-'Cash Flow Statement'!O38-'Cash Flow Statement'!O39</f>
        <v>66922</v>
      </c>
      <c r="O9" s="302">
        <f>N9-'Cash Flow Statement'!P37-'Cash Flow Statement'!P38-'Cash Flow Statement'!P39</f>
        <v>76766</v>
      </c>
      <c r="P9" s="302">
        <f>O9-'Cash Flow Statement'!Q37-'Cash Flow Statement'!Q38-'Cash Flow Statement'!Q39</f>
        <v>86610</v>
      </c>
    </row>
    <row r="10" spans="1:16" s="2" customFormat="1" ht="12.75" customHeight="1" x14ac:dyDescent="0.2">
      <c r="A10" s="287"/>
      <c r="B10" s="287"/>
      <c r="C10" s="287" t="s">
        <v>260</v>
      </c>
      <c r="D10" s="303">
        <v>959</v>
      </c>
      <c r="E10" s="303">
        <v>1346</v>
      </c>
      <c r="F10" s="303">
        <v>1723</v>
      </c>
      <c r="G10" s="303">
        <v>2941</v>
      </c>
      <c r="H10" s="303">
        <v>3388</v>
      </c>
      <c r="I10" s="303">
        <v>5362</v>
      </c>
      <c r="J10" s="303">
        <v>7615</v>
      </c>
      <c r="K10" s="302">
        <f>J10-'Cash Flow Statement'!L24</f>
        <v>7770.7985426307778</v>
      </c>
      <c r="L10" s="302">
        <f>K10-'Cash Flow Statement'!M24</f>
        <v>11782.948605733118</v>
      </c>
      <c r="M10" s="302">
        <f>L10-'Cash Flow Statement'!N24</f>
        <v>14728.6857571664</v>
      </c>
      <c r="N10" s="302">
        <f>M10-'Cash Flow Statement'!O24</f>
        <v>17225.300668918604</v>
      </c>
      <c r="O10" s="302">
        <f>N10-'Cash Flow Statement'!P24</f>
        <v>21531.625836148261</v>
      </c>
      <c r="P10" s="302">
        <f>O10-'Cash Flow Statement'!Q24</f>
        <v>26914.532295185323</v>
      </c>
    </row>
    <row r="11" spans="1:16" s="2" customFormat="1" ht="12.75" customHeight="1" x14ac:dyDescent="0.2">
      <c r="A11" s="287"/>
      <c r="B11" s="287"/>
      <c r="C11" s="287" t="s">
        <v>102</v>
      </c>
      <c r="D11" s="303">
        <v>3552</v>
      </c>
      <c r="E11" s="303">
        <v>4101</v>
      </c>
      <c r="F11" s="303">
        <v>5757</v>
      </c>
      <c r="G11" s="303">
        <v>12839</v>
      </c>
      <c r="H11" s="303">
        <v>13626</v>
      </c>
      <c r="I11" s="303">
        <v>12017</v>
      </c>
      <c r="J11" s="303">
        <v>12392</v>
      </c>
      <c r="K11" s="302">
        <f>J11-'Cash Flow Statement'!L22-'Cash Flow Statement'!L12</f>
        <v>14193.203082079126</v>
      </c>
      <c r="L11" s="302">
        <f>K11-'Cash Flow Statement'!M22-'Cash Flow Statement'!M12</f>
        <v>21334.285978284348</v>
      </c>
      <c r="M11" s="302">
        <f>L11-'Cash Flow Statement'!N22-'Cash Flow Statement'!N12</f>
        <v>26474.524139522098</v>
      </c>
      <c r="N11" s="302">
        <f>M11-'Cash Flow Statement'!O22-'Cash Flow Statement'!O12</f>
        <v>32996.488507735965</v>
      </c>
      <c r="O11" s="302">
        <f>N11-'Cash Flow Statement'!P22-'Cash Flow Statement'!P12</f>
        <v>41245.610634669953</v>
      </c>
      <c r="P11" s="302">
        <f>O11-'Cash Flow Statement'!Q22-'Cash Flow Statement'!Q12</f>
        <v>51653.679960004112</v>
      </c>
    </row>
    <row r="12" spans="1:16" s="2" customFormat="1" ht="12.75" customHeight="1" x14ac:dyDescent="0.2">
      <c r="A12" s="287"/>
      <c r="B12" s="287"/>
      <c r="C12" s="287" t="s">
        <v>267</v>
      </c>
      <c r="D12" s="381">
        <v>1324</v>
      </c>
      <c r="E12" s="303">
        <v>1886</v>
      </c>
      <c r="F12" s="303">
        <v>1913</v>
      </c>
      <c r="G12" s="303">
        <v>2952</v>
      </c>
      <c r="H12" s="303">
        <v>3508</v>
      </c>
      <c r="I12" s="303">
        <v>4418</v>
      </c>
      <c r="J12" s="303">
        <v>4576</v>
      </c>
      <c r="K12" s="302">
        <f>J12-'Cash Flow Statement'!L21</f>
        <v>5291.4809073365177</v>
      </c>
      <c r="L12" s="302">
        <f>K12-'Cash Flow Statement'!M21</f>
        <v>8023.5315891043683</v>
      </c>
      <c r="M12" s="302">
        <f>L12-'Cash Flow Statement'!N21</f>
        <v>10029.414486380461</v>
      </c>
      <c r="N12" s="302">
        <f>M12-'Cash Flow Statement'!O21</f>
        <v>12536.768107975577</v>
      </c>
      <c r="O12" s="302">
        <f>N12-'Cash Flow Statement'!P21</f>
        <v>15670.960134969469</v>
      </c>
      <c r="P12" s="302">
        <f>O12-'Cash Flow Statement'!Q21</f>
        <v>19588.700168711839</v>
      </c>
    </row>
    <row r="13" spans="1:16" s="2" customFormat="1" ht="12.75" customHeight="1" x14ac:dyDescent="0.2">
      <c r="A13" s="287"/>
      <c r="B13" s="287"/>
      <c r="C13" s="286" t="s">
        <v>28</v>
      </c>
      <c r="D13" s="385">
        <f>SUM(D8:D12)</f>
        <v>12103</v>
      </c>
      <c r="E13" s="385">
        <f>SUM(E8:E12)</f>
        <v>26717</v>
      </c>
      <c r="F13" s="385">
        <f t="shared" ref="F13:P13" si="0">SUM(F8:F12)</f>
        <v>27100</v>
      </c>
      <c r="G13" s="385">
        <f t="shared" si="0"/>
        <v>40917</v>
      </c>
      <c r="H13" s="385">
        <f t="shared" si="0"/>
        <v>49616</v>
      </c>
      <c r="I13" s="385">
        <f t="shared" si="0"/>
        <v>58360</v>
      </c>
      <c r="J13" s="385">
        <f t="shared" si="0"/>
        <v>68642</v>
      </c>
      <c r="K13" s="385">
        <f t="shared" ca="1" si="0"/>
        <v>78225.403209289099</v>
      </c>
      <c r="L13" s="385">
        <f t="shared" ca="1" si="0"/>
        <v>104837.4716294004</v>
      </c>
      <c r="M13" s="385">
        <f t="shared" ca="1" si="0"/>
        <v>136299.09510575628</v>
      </c>
      <c r="N13" s="385">
        <f t="shared" ca="1" si="0"/>
        <v>161123.18917373556</v>
      </c>
      <c r="O13" s="385">
        <f t="shared" ca="1" si="0"/>
        <v>194488.17313240326</v>
      </c>
      <c r="P13" s="385">
        <f t="shared" ca="1" si="0"/>
        <v>255386.12540232576</v>
      </c>
    </row>
    <row r="14" spans="1:16" s="2" customFormat="1" ht="12.75" customHeight="1" x14ac:dyDescent="0.2">
      <c r="A14" s="287"/>
      <c r="B14" s="287" t="s">
        <v>268</v>
      </c>
      <c r="C14" s="287"/>
      <c r="D14" s="303">
        <v>2447</v>
      </c>
      <c r="E14" s="303">
        <v>3091</v>
      </c>
      <c r="F14" s="303">
        <v>4511</v>
      </c>
      <c r="G14" s="303">
        <v>5035</v>
      </c>
      <c r="H14" s="303">
        <v>5989</v>
      </c>
      <c r="I14" s="303">
        <v>5581</v>
      </c>
      <c r="J14" s="303">
        <v>4912</v>
      </c>
      <c r="K14" s="17">
        <f>J14-'Cash Flow Statement'!L23</f>
        <v>4912</v>
      </c>
      <c r="L14" s="17">
        <f>K14-'Cash Flow Statement'!M23</f>
        <v>4912</v>
      </c>
      <c r="M14" s="17">
        <f>L14-'Cash Flow Statement'!N23</f>
        <v>4912</v>
      </c>
      <c r="N14" s="17">
        <f>M14-'Cash Flow Statement'!O23</f>
        <v>4912</v>
      </c>
      <c r="O14" s="17">
        <f>N14-'Cash Flow Statement'!P23</f>
        <v>4912</v>
      </c>
      <c r="P14" s="17">
        <f>O14-'Cash Flow Statement'!Q23</f>
        <v>4912</v>
      </c>
    </row>
    <row r="15" spans="1:16" s="2" customFormat="1" ht="12.75" customHeight="1" x14ac:dyDescent="0.2">
      <c r="A15" s="287"/>
      <c r="B15" s="287" t="s">
        <v>326</v>
      </c>
      <c r="C15" s="287"/>
      <c r="D15" s="303">
        <v>6138</v>
      </c>
      <c r="E15" s="303">
        <v>5979</v>
      </c>
      <c r="F15" s="303">
        <v>5765</v>
      </c>
      <c r="G15" s="303">
        <v>5489</v>
      </c>
      <c r="H15" s="303">
        <v>5229</v>
      </c>
      <c r="I15" s="303">
        <v>4924</v>
      </c>
      <c r="J15" s="303">
        <v>4604</v>
      </c>
      <c r="K15" s="17">
        <f>J15-'Cash Flow Statement'!L34</f>
        <v>4604</v>
      </c>
      <c r="L15" s="17">
        <f>K15-'Cash Flow Statement'!M34</f>
        <v>4604</v>
      </c>
      <c r="M15" s="17">
        <f>L15-'Cash Flow Statement'!N34</f>
        <v>4604</v>
      </c>
      <c r="N15" s="17">
        <f>M15-'Cash Flow Statement'!O34</f>
        <v>4604</v>
      </c>
      <c r="O15" s="17">
        <f>N15-'Cash Flow Statement'!P34</f>
        <v>4604</v>
      </c>
      <c r="P15" s="17">
        <f>O15-'Cash Flow Statement'!Q34</f>
        <v>4604</v>
      </c>
    </row>
    <row r="16" spans="1:16" s="2" customFormat="1" ht="12.75" customHeight="1" x14ac:dyDescent="0.2">
      <c r="A16" s="287"/>
      <c r="B16" s="287" t="s">
        <v>261</v>
      </c>
      <c r="C16" s="287"/>
      <c r="D16" s="303">
        <v>10396</v>
      </c>
      <c r="E16" s="303">
        <v>12747</v>
      </c>
      <c r="F16" s="303">
        <v>18884</v>
      </c>
      <c r="G16" s="303">
        <v>23548</v>
      </c>
      <c r="H16" s="303">
        <v>29725</v>
      </c>
      <c r="I16" s="303">
        <v>35836</v>
      </c>
      <c r="J16" s="303">
        <v>40643</v>
      </c>
      <c r="K16" s="17">
        <f>J16-'Cash Flow Statement'!L35-'Cash Flow Statement'!L8</f>
        <v>57583.86147186147</v>
      </c>
      <c r="L16" s="17">
        <f>K16-'Cash Flow Statement'!M35-'Cash Flow Statement'!M8</f>
        <v>67706.541125541116</v>
      </c>
      <c r="M16" s="17">
        <f>L16-'Cash Flow Statement'!N35-'Cash Flow Statement'!N8</f>
        <v>72495.887445887434</v>
      </c>
      <c r="N16" s="17">
        <f>M16-'Cash Flow Statement'!O35-'Cash Flow Statement'!O8</f>
        <v>75951.900432900424</v>
      </c>
      <c r="O16" s="17">
        <f>N16-'Cash Flow Statement'!P35-'Cash Flow Statement'!P8</f>
        <v>76241.246753246742</v>
      </c>
      <c r="P16" s="17">
        <f>O16-'Cash Flow Statement'!Q35-'Cash Flow Statement'!Q8</f>
        <v>76530.59307359306</v>
      </c>
    </row>
    <row r="17" spans="1:16" s="2" customFormat="1" ht="12.75" customHeight="1" x14ac:dyDescent="0.2">
      <c r="A17" s="287"/>
      <c r="B17" s="287" t="s">
        <v>262</v>
      </c>
      <c r="C17" s="287"/>
      <c r="D17" s="381">
        <v>1218</v>
      </c>
      <c r="E17" s="381">
        <v>1558</v>
      </c>
      <c r="F17" s="381">
        <v>2016</v>
      </c>
      <c r="G17" s="381">
        <v>2563</v>
      </c>
      <c r="H17" s="381">
        <v>4180</v>
      </c>
      <c r="I17" s="381">
        <v>5160</v>
      </c>
      <c r="J17" s="381">
        <v>6027</v>
      </c>
      <c r="K17" s="25">
        <f>J17</f>
        <v>6027</v>
      </c>
      <c r="L17" s="25">
        <f t="shared" ref="L17:P17" si="1">K17</f>
        <v>6027</v>
      </c>
      <c r="M17" s="25">
        <f t="shared" si="1"/>
        <v>6027</v>
      </c>
      <c r="N17" s="25">
        <f t="shared" si="1"/>
        <v>6027</v>
      </c>
      <c r="O17" s="25">
        <f t="shared" si="1"/>
        <v>6027</v>
      </c>
      <c r="P17" s="25">
        <f t="shared" si="1"/>
        <v>6027</v>
      </c>
    </row>
    <row r="18" spans="1:16" s="2" customFormat="1" ht="12.75" customHeight="1" x14ac:dyDescent="0.2">
      <c r="A18" s="287"/>
      <c r="B18" s="287" t="s">
        <v>327</v>
      </c>
      <c r="C18" s="287"/>
      <c r="D18" s="381">
        <v>0</v>
      </c>
      <c r="E18" s="381">
        <v>0</v>
      </c>
      <c r="F18" s="381">
        <v>1260</v>
      </c>
      <c r="G18" s="381">
        <v>184</v>
      </c>
      <c r="H18" s="381">
        <v>184</v>
      </c>
      <c r="I18" s="381">
        <v>1076</v>
      </c>
      <c r="J18" s="381">
        <v>1008</v>
      </c>
      <c r="K18" s="17">
        <f>J18-'Cash Flow Statement'!L19</f>
        <v>940</v>
      </c>
      <c r="L18" s="17">
        <f>K18-'Cash Flow Statement'!M19</f>
        <v>872</v>
      </c>
      <c r="M18" s="17">
        <f>L18-'Cash Flow Statement'!N19</f>
        <v>804</v>
      </c>
      <c r="N18" s="17">
        <f>M18-'Cash Flow Statement'!O19</f>
        <v>736</v>
      </c>
      <c r="O18" s="17">
        <f>N18-'Cash Flow Statement'!P19</f>
        <v>668</v>
      </c>
      <c r="P18" s="17">
        <f>O18-'Cash Flow Statement'!Q19</f>
        <v>600</v>
      </c>
    </row>
    <row r="19" spans="1:16" s="2" customFormat="1" ht="12.75" customHeight="1" x14ac:dyDescent="0.2">
      <c r="A19" s="287"/>
      <c r="B19" s="287" t="s">
        <v>328</v>
      </c>
      <c r="C19" s="287"/>
      <c r="D19" s="381">
        <v>0</v>
      </c>
      <c r="E19" s="381">
        <v>0</v>
      </c>
      <c r="F19" s="381">
        <v>0</v>
      </c>
      <c r="G19" s="381">
        <v>328</v>
      </c>
      <c r="H19" s="381">
        <v>6733</v>
      </c>
      <c r="I19" s="381">
        <v>6524</v>
      </c>
      <c r="J19" s="381">
        <v>6925</v>
      </c>
      <c r="K19" s="17">
        <f>J19-'Cash Flow Statement'!L18</f>
        <v>6802</v>
      </c>
      <c r="L19" s="17">
        <f>K19-'Cash Flow Statement'!M18</f>
        <v>6679</v>
      </c>
      <c r="M19" s="17">
        <f>L19-'Cash Flow Statement'!N18</f>
        <v>6556</v>
      </c>
      <c r="N19" s="17">
        <f>M19-'Cash Flow Statement'!O18</f>
        <v>6433</v>
      </c>
      <c r="O19" s="17">
        <f>N19-'Cash Flow Statement'!P18</f>
        <v>6310</v>
      </c>
      <c r="P19" s="17">
        <f>O19-'Cash Flow Statement'!Q18</f>
        <v>6187</v>
      </c>
    </row>
    <row r="20" spans="1:16" s="2" customFormat="1" ht="12.75" customHeight="1" x14ac:dyDescent="0.2">
      <c r="A20" s="287"/>
      <c r="B20" s="287" t="s">
        <v>263</v>
      </c>
      <c r="C20" s="287"/>
      <c r="D20" s="381">
        <v>339</v>
      </c>
      <c r="E20" s="381">
        <v>313</v>
      </c>
      <c r="F20" s="381">
        <v>257</v>
      </c>
      <c r="G20" s="381">
        <v>215</v>
      </c>
      <c r="H20" s="381">
        <v>178</v>
      </c>
      <c r="I20" s="381">
        <v>150</v>
      </c>
      <c r="J20" s="381">
        <v>0</v>
      </c>
      <c r="K20" s="17">
        <f>J20</f>
        <v>0</v>
      </c>
      <c r="L20" s="17">
        <f t="shared" ref="L20:P22" si="2">K20</f>
        <v>0</v>
      </c>
      <c r="M20" s="17">
        <f t="shared" si="2"/>
        <v>0</v>
      </c>
      <c r="N20" s="17">
        <f t="shared" si="2"/>
        <v>0</v>
      </c>
      <c r="O20" s="17">
        <f t="shared" si="2"/>
        <v>0</v>
      </c>
      <c r="P20" s="17">
        <f t="shared" si="2"/>
        <v>0</v>
      </c>
    </row>
    <row r="21" spans="1:16" s="2" customFormat="1" ht="12.75" customHeight="1" x14ac:dyDescent="0.2">
      <c r="A21" s="287"/>
      <c r="B21" s="287" t="s">
        <v>6</v>
      </c>
      <c r="C21" s="287"/>
      <c r="D21" s="381">
        <v>198</v>
      </c>
      <c r="E21" s="381">
        <v>207</v>
      </c>
      <c r="F21" s="381">
        <v>200</v>
      </c>
      <c r="G21" s="381">
        <v>194</v>
      </c>
      <c r="H21" s="381">
        <v>253</v>
      </c>
      <c r="I21" s="381">
        <v>244</v>
      </c>
      <c r="J21" s="381">
        <v>257</v>
      </c>
      <c r="K21" s="25">
        <f>J21</f>
        <v>257</v>
      </c>
      <c r="L21" s="25">
        <f t="shared" si="2"/>
        <v>257</v>
      </c>
      <c r="M21" s="25">
        <f t="shared" si="2"/>
        <v>257</v>
      </c>
      <c r="N21" s="25">
        <f t="shared" si="2"/>
        <v>257</v>
      </c>
      <c r="O21" s="25">
        <f t="shared" si="2"/>
        <v>257</v>
      </c>
      <c r="P21" s="25">
        <f t="shared" si="2"/>
        <v>257</v>
      </c>
    </row>
    <row r="22" spans="1:16" s="2" customFormat="1" ht="12.75" customHeight="1" x14ac:dyDescent="0.2">
      <c r="A22" s="287"/>
      <c r="B22" s="287" t="s">
        <v>236</v>
      </c>
      <c r="C22" s="287"/>
      <c r="D22" s="307">
        <v>1470</v>
      </c>
      <c r="E22" s="307">
        <v>1536</v>
      </c>
      <c r="F22" s="384">
        <v>2138</v>
      </c>
      <c r="G22" s="384">
        <v>3865</v>
      </c>
      <c r="H22" s="384">
        <v>4531</v>
      </c>
      <c r="I22" s="384">
        <v>4215</v>
      </c>
      <c r="J22" s="384">
        <f>5045-J21</f>
        <v>4788</v>
      </c>
      <c r="K22" s="17">
        <f>J22</f>
        <v>4788</v>
      </c>
      <c r="L22" s="17">
        <f t="shared" si="2"/>
        <v>4788</v>
      </c>
      <c r="M22" s="17">
        <f t="shared" si="2"/>
        <v>4788</v>
      </c>
      <c r="N22" s="17">
        <f t="shared" si="2"/>
        <v>4788</v>
      </c>
      <c r="O22" s="17">
        <f t="shared" si="2"/>
        <v>4788</v>
      </c>
      <c r="P22" s="17">
        <f t="shared" si="2"/>
        <v>4788</v>
      </c>
    </row>
    <row r="23" spans="1:16" s="2" customFormat="1" ht="12.75" customHeight="1" x14ac:dyDescent="0.2">
      <c r="A23" s="287"/>
      <c r="B23" s="286" t="s">
        <v>58</v>
      </c>
      <c r="C23" s="286"/>
      <c r="D23" s="305">
        <f>SUM(D14:D22)+D13</f>
        <v>34309</v>
      </c>
      <c r="E23" s="305">
        <f>SUM(E14:E22)+E13</f>
        <v>52148</v>
      </c>
      <c r="F23" s="305">
        <f t="shared" ref="F23:P23" si="3">SUM(F14:F22)+F13</f>
        <v>62131</v>
      </c>
      <c r="G23" s="305">
        <f t="shared" si="3"/>
        <v>82338</v>
      </c>
      <c r="H23" s="305">
        <f t="shared" si="3"/>
        <v>106618</v>
      </c>
      <c r="I23" s="305">
        <f t="shared" si="3"/>
        <v>122070</v>
      </c>
      <c r="J23" s="305">
        <f t="shared" si="3"/>
        <v>137806</v>
      </c>
      <c r="K23" s="385">
        <f t="shared" ca="1" si="3"/>
        <v>164139.26468115055</v>
      </c>
      <c r="L23" s="385">
        <f t="shared" ca="1" si="3"/>
        <v>200683.01275494153</v>
      </c>
      <c r="M23" s="385">
        <f t="shared" ca="1" si="3"/>
        <v>236742.98255164371</v>
      </c>
      <c r="N23" s="385">
        <f t="shared" ca="1" si="3"/>
        <v>264832.08960663597</v>
      </c>
      <c r="O23" s="385">
        <f t="shared" ca="1" si="3"/>
        <v>298295.41988564999</v>
      </c>
      <c r="P23" s="385">
        <f t="shared" ca="1" si="3"/>
        <v>359291.71847591881</v>
      </c>
    </row>
    <row r="24" spans="1:16" s="2" customFormat="1" ht="21" customHeight="1" x14ac:dyDescent="0.2">
      <c r="A24" s="286" t="s">
        <v>7</v>
      </c>
      <c r="B24" s="287"/>
      <c r="C24" s="286"/>
      <c r="D24" s="286"/>
      <c r="E24" s="286"/>
      <c r="F24" s="286"/>
      <c r="G24" s="286"/>
      <c r="H24" s="286"/>
      <c r="I24" s="286"/>
      <c r="J24" s="286"/>
    </row>
    <row r="25" spans="1:16" s="2" customFormat="1" ht="12.75" customHeight="1" x14ac:dyDescent="0.2">
      <c r="A25" s="287"/>
      <c r="B25" s="286" t="s">
        <v>59</v>
      </c>
      <c r="C25" s="287"/>
      <c r="E25" s="287"/>
      <c r="F25" s="287"/>
      <c r="G25" s="287"/>
      <c r="H25" s="287"/>
      <c r="I25" s="287"/>
      <c r="J25" s="287"/>
    </row>
    <row r="26" spans="1:16" s="2" customFormat="1" ht="12.75" customHeight="1" x14ac:dyDescent="0.2">
      <c r="A26" s="287"/>
      <c r="B26" s="287"/>
      <c r="C26" s="287" t="s">
        <v>25</v>
      </c>
      <c r="D26" s="303">
        <v>3771</v>
      </c>
      <c r="E26" s="303">
        <v>6051</v>
      </c>
      <c r="F26" s="303">
        <v>10025</v>
      </c>
      <c r="G26" s="303">
        <v>15255</v>
      </c>
      <c r="H26" s="303">
        <v>14431</v>
      </c>
      <c r="I26" s="303">
        <v>12474</v>
      </c>
      <c r="J26" s="303">
        <v>13371</v>
      </c>
      <c r="L26"/>
    </row>
    <row r="27" spans="1:16" s="2" customFormat="1" ht="12.75" customHeight="1" x14ac:dyDescent="0.2">
      <c r="A27" s="287"/>
      <c r="B27" s="291"/>
      <c r="C27" s="287" t="s">
        <v>264</v>
      </c>
      <c r="D27" s="303">
        <v>3222</v>
      </c>
      <c r="E27" s="303">
        <v>3855</v>
      </c>
      <c r="F27" s="303">
        <v>5719</v>
      </c>
      <c r="G27" s="303">
        <v>7142</v>
      </c>
      <c r="H27" s="303">
        <v>9080</v>
      </c>
      <c r="I27" s="303">
        <v>10723</v>
      </c>
      <c r="J27" s="303">
        <v>13279</v>
      </c>
    </row>
    <row r="28" spans="1:16" s="2" customFormat="1" ht="12.75" customHeight="1" x14ac:dyDescent="0.2">
      <c r="A28" s="287"/>
      <c r="B28" s="291"/>
      <c r="C28" s="287" t="s">
        <v>342</v>
      </c>
      <c r="D28" s="303"/>
      <c r="E28" s="303">
        <f>E26+E27</f>
        <v>9906</v>
      </c>
      <c r="F28" s="303">
        <f t="shared" ref="F28:J28" si="4">F26+F27</f>
        <v>15744</v>
      </c>
      <c r="G28" s="303">
        <f t="shared" si="4"/>
        <v>22397</v>
      </c>
      <c r="H28" s="303">
        <f t="shared" si="4"/>
        <v>23511</v>
      </c>
      <c r="I28" s="303">
        <f t="shared" si="4"/>
        <v>23197</v>
      </c>
      <c r="J28" s="303">
        <f t="shared" si="4"/>
        <v>26650</v>
      </c>
      <c r="K28" s="17">
        <f>J28+'Cash Flow Statement'!L26</f>
        <v>48519.773514989414</v>
      </c>
      <c r="L28" s="17">
        <f>K28+'Cash Flow Statement'!M26</f>
        <v>73144.99372532226</v>
      </c>
      <c r="M28" s="17">
        <f>L28+'Cash Flow Statement'!N26</f>
        <v>93972.23040141302</v>
      </c>
      <c r="N28" s="17">
        <f>M28+'Cash Flow Statement'!O26</f>
        <v>101650.09868156846</v>
      </c>
      <c r="O28" s="17">
        <f>N28+'Cash Flow Statement'!P26</f>
        <v>107994.60763251633</v>
      </c>
      <c r="P28" s="17">
        <f>O28+'Cash Flow Statement'!Q26</f>
        <v>131289.94949002727</v>
      </c>
    </row>
    <row r="29" spans="1:16" s="2" customFormat="1" ht="12.75" customHeight="1" x14ac:dyDescent="0.2">
      <c r="A29" s="287"/>
      <c r="B29" s="287"/>
      <c r="C29" s="287" t="s">
        <v>234</v>
      </c>
      <c r="D29" s="303">
        <v>1163</v>
      </c>
      <c r="E29" s="303">
        <v>1458</v>
      </c>
      <c r="F29" s="303">
        <v>1447</v>
      </c>
      <c r="G29" s="303">
        <v>1747</v>
      </c>
      <c r="H29" s="303">
        <v>2864</v>
      </c>
      <c r="I29" s="303">
        <v>3168</v>
      </c>
      <c r="J29" s="303">
        <v>3424</v>
      </c>
      <c r="K29" s="17">
        <f>J29+'Cash Flow Statement'!L27</f>
        <v>1870.7816128317886</v>
      </c>
      <c r="L29" s="17">
        <f>K29+'Cash Flow Statement'!M27</f>
        <v>2831.4588882913094</v>
      </c>
      <c r="M29" s="17">
        <f>L29+'Cash Flow Statement'!N27</f>
        <v>3363.6391323146363</v>
      </c>
      <c r="N29" s="17">
        <f>M29+'Cash Flow Statement'!O27</f>
        <v>3395.5122486211735</v>
      </c>
      <c r="O29" s="17">
        <f>N29+'Cash Flow Statement'!P27</f>
        <v>3296</v>
      </c>
      <c r="P29" s="17">
        <f>O29+'Cash Flow Statement'!Q27</f>
        <v>3878.3013276809347</v>
      </c>
    </row>
    <row r="30" spans="1:16" s="2" customFormat="1" ht="12.75" customHeight="1" x14ac:dyDescent="0.2">
      <c r="A30" s="287"/>
      <c r="B30" s="287"/>
      <c r="C30" s="287" t="s">
        <v>265</v>
      </c>
      <c r="D30" s="303">
        <v>1785</v>
      </c>
      <c r="E30" s="303">
        <v>2132</v>
      </c>
      <c r="F30" s="303">
        <v>1589</v>
      </c>
      <c r="G30" s="303">
        <v>1502</v>
      </c>
      <c r="H30" s="303">
        <v>2373</v>
      </c>
      <c r="I30" s="303">
        <v>2456</v>
      </c>
      <c r="J30" s="303">
        <v>1640</v>
      </c>
      <c r="K30" s="17">
        <f>J30</f>
        <v>1640</v>
      </c>
      <c r="L30" s="17">
        <f t="shared" ref="L30:P30" si="5">K30</f>
        <v>1640</v>
      </c>
      <c r="M30" s="17">
        <f t="shared" si="5"/>
        <v>1640</v>
      </c>
      <c r="N30" s="17">
        <f t="shared" si="5"/>
        <v>1640</v>
      </c>
      <c r="O30" s="17">
        <f t="shared" si="5"/>
        <v>1640</v>
      </c>
      <c r="P30" s="17">
        <f t="shared" si="5"/>
        <v>1640</v>
      </c>
    </row>
    <row r="31" spans="1:16" s="2" customFormat="1" ht="12.75" customHeight="1" x14ac:dyDescent="0.2">
      <c r="A31" s="287"/>
      <c r="B31" s="287"/>
      <c r="C31" s="287" t="s">
        <v>238</v>
      </c>
      <c r="D31" s="303">
        <v>726</v>
      </c>
      <c r="E31" s="303">
        <v>752</v>
      </c>
      <c r="F31" s="303">
        <v>925</v>
      </c>
      <c r="G31" s="303">
        <v>1063</v>
      </c>
      <c r="H31" s="303">
        <v>0</v>
      </c>
      <c r="I31" s="303">
        <f>H31</f>
        <v>0</v>
      </c>
      <c r="J31" s="303">
        <f>I31</f>
        <v>0</v>
      </c>
      <c r="K31" s="25">
        <f>J31</f>
        <v>0</v>
      </c>
      <c r="L31" s="25">
        <f t="shared" ref="L31:P31" si="6">K31</f>
        <v>0</v>
      </c>
      <c r="M31" s="25">
        <f t="shared" si="6"/>
        <v>0</v>
      </c>
      <c r="N31" s="25">
        <f t="shared" si="6"/>
        <v>0</v>
      </c>
      <c r="O31" s="25">
        <f t="shared" si="6"/>
        <v>0</v>
      </c>
      <c r="P31" s="25">
        <f t="shared" si="6"/>
        <v>0</v>
      </c>
    </row>
    <row r="32" spans="1:16" s="2" customFormat="1" ht="12.75" customHeight="1" x14ac:dyDescent="0.2">
      <c r="A32" s="287"/>
      <c r="B32" s="287"/>
      <c r="C32" s="310" t="s">
        <v>29</v>
      </c>
      <c r="D32" s="385">
        <f>SUM(D26:D31)</f>
        <v>10667</v>
      </c>
      <c r="E32" s="385">
        <f>SUM(E26:E31)-E28</f>
        <v>14248</v>
      </c>
      <c r="F32" s="385">
        <f t="shared" ref="F32:J32" si="7">SUM(F26:F31)-F28</f>
        <v>19705</v>
      </c>
      <c r="G32" s="385">
        <f t="shared" si="7"/>
        <v>26709</v>
      </c>
      <c r="H32" s="385">
        <f t="shared" si="7"/>
        <v>28748</v>
      </c>
      <c r="I32" s="385">
        <f t="shared" si="7"/>
        <v>28821</v>
      </c>
      <c r="J32" s="385">
        <f t="shared" si="7"/>
        <v>31714</v>
      </c>
      <c r="K32" s="385">
        <f>SUM(K28:K31)</f>
        <v>52030.555127821201</v>
      </c>
      <c r="L32" s="385">
        <f t="shared" ref="L32:P32" si="8">SUM(L28:L31)</f>
        <v>77616.452613613568</v>
      </c>
      <c r="M32" s="385">
        <f t="shared" si="8"/>
        <v>98975.869533727659</v>
      </c>
      <c r="N32" s="385">
        <f t="shared" si="8"/>
        <v>106685.61093018964</v>
      </c>
      <c r="O32" s="385">
        <f t="shared" si="8"/>
        <v>112930.60763251633</v>
      </c>
      <c r="P32" s="385">
        <f t="shared" si="8"/>
        <v>136808.25081770821</v>
      </c>
    </row>
    <row r="33" spans="1:16" s="371" customFormat="1" ht="12.75" customHeight="1" x14ac:dyDescent="0.2">
      <c r="B33" s="371" t="s">
        <v>266</v>
      </c>
      <c r="D33" s="379">
        <v>11634</v>
      </c>
      <c r="E33" s="379">
        <v>9556</v>
      </c>
      <c r="F33" s="379">
        <v>5245</v>
      </c>
      <c r="G33" s="379">
        <v>1597</v>
      </c>
      <c r="H33" s="379">
        <v>2857</v>
      </c>
      <c r="I33" s="379">
        <v>5757</v>
      </c>
      <c r="J33" s="379">
        <v>6736</v>
      </c>
      <c r="K33" s="447">
        <f>J33+'Cash Flow Statement'!L15</f>
        <v>7008</v>
      </c>
      <c r="L33" s="447">
        <f>K33+'Cash Flow Statement'!M15</f>
        <v>7420.436637390213</v>
      </c>
      <c r="M33" s="447">
        <f>L33+'Cash Flow Statement'!N15</f>
        <v>7935.98243412798</v>
      </c>
      <c r="N33" s="447">
        <f>M33+'Cash Flow Statement'!O15</f>
        <v>8580.4146800501876</v>
      </c>
      <c r="O33" s="447">
        <f>N33+'Cash Flow Statement'!P15</f>
        <v>9385.9549874529475</v>
      </c>
      <c r="P33" s="447">
        <f>O33+'Cash Flow Statement'!Q15</f>
        <v>10392.880371706398</v>
      </c>
    </row>
    <row r="34" spans="1:16" s="371" customFormat="1" ht="12.75" customHeight="1" x14ac:dyDescent="0.2">
      <c r="B34" s="371" t="s">
        <v>279</v>
      </c>
      <c r="C34" s="371" t="s">
        <v>278</v>
      </c>
      <c r="D34" s="379">
        <v>1207</v>
      </c>
      <c r="E34" s="379">
        <v>1284</v>
      </c>
      <c r="F34" s="380">
        <v>2052</v>
      </c>
      <c r="G34" s="380">
        <v>2804</v>
      </c>
      <c r="H34" s="380">
        <v>3251</v>
      </c>
      <c r="I34" s="380">
        <v>3317</v>
      </c>
      <c r="J34" s="380">
        <v>3631</v>
      </c>
      <c r="K34" s="446">
        <f>J34</f>
        <v>3631</v>
      </c>
      <c r="L34" s="446">
        <f t="shared" ref="L34:P34" si="9">K34</f>
        <v>3631</v>
      </c>
      <c r="M34" s="446">
        <f t="shared" si="9"/>
        <v>3631</v>
      </c>
      <c r="N34" s="446">
        <f t="shared" si="9"/>
        <v>3631</v>
      </c>
      <c r="O34" s="446">
        <f t="shared" si="9"/>
        <v>3631</v>
      </c>
      <c r="P34" s="446">
        <f t="shared" si="9"/>
        <v>3631</v>
      </c>
    </row>
    <row r="35" spans="1:16" s="2" customFormat="1" ht="12.75" customHeight="1" x14ac:dyDescent="0.2">
      <c r="A35" s="287"/>
      <c r="B35" s="287" t="s">
        <v>26</v>
      </c>
      <c r="C35" s="287"/>
      <c r="D35" s="307">
        <v>2691</v>
      </c>
      <c r="E35" s="307">
        <v>3330</v>
      </c>
      <c r="F35" s="311">
        <v>3546</v>
      </c>
      <c r="G35" s="311">
        <v>5330</v>
      </c>
      <c r="H35" s="311">
        <v>8153</v>
      </c>
      <c r="I35" s="311">
        <v>10495</v>
      </c>
      <c r="J35" s="311">
        <v>12860</v>
      </c>
      <c r="K35" s="17">
        <f>J35+'Cash Flow Statement'!L14</f>
        <v>12716</v>
      </c>
      <c r="L35" s="17">
        <f>K35+'Cash Flow Statement'!M14</f>
        <v>12643</v>
      </c>
      <c r="M35" s="17">
        <f>L35+'Cash Flow Statement'!N14</f>
        <v>13095</v>
      </c>
      <c r="N35" s="17">
        <f>M35+'Cash Flow Statement'!O14</f>
        <v>12951</v>
      </c>
      <c r="O35" s="17">
        <f>N35+'Cash Flow Statement'!P14</f>
        <v>12878</v>
      </c>
      <c r="P35" s="17">
        <f>O35+'Cash Flow Statement'!Q14</f>
        <v>13330</v>
      </c>
    </row>
    <row r="36" spans="1:16" s="2" customFormat="1" ht="12.75" customHeight="1" x14ac:dyDescent="0.2">
      <c r="A36" s="287"/>
      <c r="B36" s="286" t="s">
        <v>60</v>
      </c>
      <c r="C36" s="286"/>
      <c r="D36" s="305">
        <f>SUM(D33:D35)+D32</f>
        <v>26199</v>
      </c>
      <c r="E36" s="305">
        <f>SUM(E33:E35)+E32</f>
        <v>28418</v>
      </c>
      <c r="F36" s="305">
        <f t="shared" ref="F36:P36" si="10">SUM(F33:F35)+F32</f>
        <v>30548</v>
      </c>
      <c r="G36" s="305">
        <f t="shared" si="10"/>
        <v>36440</v>
      </c>
      <c r="H36" s="305">
        <f t="shared" si="10"/>
        <v>43009</v>
      </c>
      <c r="I36" s="305">
        <f t="shared" si="10"/>
        <v>48390</v>
      </c>
      <c r="J36" s="305">
        <f t="shared" si="10"/>
        <v>54941</v>
      </c>
      <c r="K36" s="305">
        <f t="shared" si="10"/>
        <v>75385.555127821193</v>
      </c>
      <c r="L36" s="305">
        <f t="shared" si="10"/>
        <v>101310.88925100378</v>
      </c>
      <c r="M36" s="305">
        <f t="shared" si="10"/>
        <v>123637.85196785565</v>
      </c>
      <c r="N36" s="305">
        <f t="shared" si="10"/>
        <v>131848.02561023983</v>
      </c>
      <c r="O36" s="305">
        <f t="shared" si="10"/>
        <v>138825.56261996928</v>
      </c>
      <c r="P36" s="305">
        <f t="shared" si="10"/>
        <v>164162.13118941459</v>
      </c>
    </row>
    <row r="37" spans="1:16" s="2" customFormat="1" ht="12.75" customHeight="1" x14ac:dyDescent="0.2">
      <c r="A37" s="287" t="s">
        <v>329</v>
      </c>
      <c r="B37" s="286"/>
      <c r="C37" s="286"/>
      <c r="D37" s="303"/>
      <c r="E37" s="303"/>
      <c r="F37" s="305"/>
      <c r="G37" s="305"/>
      <c r="H37" s="305"/>
      <c r="I37" s="305"/>
      <c r="J37" s="305"/>
    </row>
    <row r="38" spans="1:16" s="371" customFormat="1" ht="12.75" customHeight="1" x14ac:dyDescent="0.2">
      <c r="A38" s="371" t="s">
        <v>270</v>
      </c>
      <c r="B38" s="372"/>
      <c r="C38" s="372"/>
      <c r="D38" s="379">
        <v>643</v>
      </c>
      <c r="E38" s="379">
        <v>604</v>
      </c>
      <c r="F38" s="379">
        <v>568</v>
      </c>
      <c r="G38" s="379">
        <v>409</v>
      </c>
      <c r="H38" s="379">
        <v>242</v>
      </c>
      <c r="I38" s="379">
        <v>63</v>
      </c>
      <c r="J38" s="379">
        <v>58</v>
      </c>
      <c r="K38" s="382">
        <f>J38+'Cash Flow Statement'!L57</f>
        <v>-20</v>
      </c>
      <c r="L38" s="382">
        <f>K38+'Cash Flow Statement'!M57</f>
        <v>-98</v>
      </c>
      <c r="M38" s="382">
        <f>L38+'Cash Flow Statement'!N57</f>
        <v>-176</v>
      </c>
      <c r="N38" s="382">
        <f>M38+'Cash Flow Statement'!O57</f>
        <v>-254</v>
      </c>
      <c r="O38" s="382">
        <f>N38+'Cash Flow Statement'!P57</f>
        <v>-332</v>
      </c>
      <c r="P38" s="382">
        <f>O38+'Cash Flow Statement'!Q57</f>
        <v>-410</v>
      </c>
    </row>
    <row r="39" spans="1:16" s="371" customFormat="1" ht="12.75" customHeight="1" x14ac:dyDescent="0.2">
      <c r="A39" s="371" t="s">
        <v>271</v>
      </c>
      <c r="B39" s="372"/>
      <c r="C39" s="372"/>
      <c r="D39" s="379">
        <v>0</v>
      </c>
      <c r="E39" s="379">
        <v>51</v>
      </c>
      <c r="F39" s="379">
        <v>0</v>
      </c>
      <c r="G39" s="379">
        <v>0</v>
      </c>
      <c r="H39" s="379">
        <v>0</v>
      </c>
      <c r="I39" s="379">
        <v>0</v>
      </c>
      <c r="J39" s="379">
        <v>0</v>
      </c>
      <c r="K39" s="446">
        <f>J39+'Cash Flow Statement'!L17</f>
        <v>0</v>
      </c>
      <c r="L39" s="446">
        <f>K39+'Cash Flow Statement'!M17</f>
        <v>0</v>
      </c>
      <c r="M39" s="446">
        <f>L39+'Cash Flow Statement'!N17</f>
        <v>0</v>
      </c>
      <c r="N39" s="446">
        <f>M39+'Cash Flow Statement'!O17</f>
        <v>0</v>
      </c>
      <c r="O39" s="446">
        <f>N39+'Cash Flow Statement'!P17</f>
        <v>0</v>
      </c>
      <c r="P39" s="446">
        <f>O39+'Cash Flow Statement'!Q17</f>
        <v>0</v>
      </c>
    </row>
    <row r="40" spans="1:16" s="2" customFormat="1" ht="21" customHeight="1" x14ac:dyDescent="0.2">
      <c r="A40" s="286" t="s">
        <v>61</v>
      </c>
      <c r="B40" s="287"/>
      <c r="C40" s="286"/>
      <c r="D40" s="280"/>
      <c r="E40" s="280"/>
      <c r="F40" s="280"/>
      <c r="G40" s="280"/>
      <c r="H40" s="280"/>
      <c r="I40" s="280"/>
      <c r="J40" s="280"/>
    </row>
    <row r="41" spans="1:16" s="10" customFormat="1" ht="12.75" customHeight="1" x14ac:dyDescent="0.2">
      <c r="A41" s="287"/>
      <c r="B41" s="287" t="s">
        <v>27</v>
      </c>
      <c r="C41" s="287"/>
      <c r="D41" s="303">
        <v>0</v>
      </c>
      <c r="E41" s="303">
        <v>0</v>
      </c>
      <c r="F41" s="303">
        <v>0</v>
      </c>
      <c r="G41" s="303">
        <v>0</v>
      </c>
      <c r="H41" s="303">
        <v>0</v>
      </c>
      <c r="I41" s="303">
        <v>0</v>
      </c>
      <c r="J41" s="303">
        <v>0</v>
      </c>
      <c r="K41" s="444">
        <f>J41</f>
        <v>0</v>
      </c>
      <c r="L41" s="444">
        <f t="shared" ref="L41:P41" si="11">K41</f>
        <v>0</v>
      </c>
      <c r="M41" s="444">
        <f t="shared" si="11"/>
        <v>0</v>
      </c>
      <c r="N41" s="444">
        <f t="shared" si="11"/>
        <v>0</v>
      </c>
      <c r="O41" s="444">
        <f t="shared" si="11"/>
        <v>0</v>
      </c>
      <c r="P41" s="444">
        <f t="shared" si="11"/>
        <v>0</v>
      </c>
    </row>
    <row r="42" spans="1:16" s="10" customFormat="1" ht="12.75" customHeight="1" x14ac:dyDescent="0.2">
      <c r="A42" s="287"/>
      <c r="B42" s="287" t="s">
        <v>90</v>
      </c>
      <c r="C42" s="287"/>
      <c r="D42" s="303">
        <f>12736+1</f>
        <v>12737</v>
      </c>
      <c r="E42" s="303">
        <f>27260+1</f>
        <v>27261</v>
      </c>
      <c r="F42" s="302">
        <f>29803+3</f>
        <v>29806</v>
      </c>
      <c r="G42" s="302">
        <f>32177+3</f>
        <v>32180</v>
      </c>
      <c r="H42" s="302">
        <f>34892+3</f>
        <v>34895</v>
      </c>
      <c r="I42" s="302">
        <f>38371+3</f>
        <v>38374</v>
      </c>
      <c r="J42" s="302">
        <f>42770+3</f>
        <v>42773</v>
      </c>
      <c r="K42" s="445">
        <f>J42+'Cash Flow Statement'!L47+'Cash Flow Statement'!L48+'Cash Flow Statement'!L49</f>
        <v>42773</v>
      </c>
      <c r="L42" s="445">
        <f>K42+'Cash Flow Statement'!M47+'Cash Flow Statement'!M48+'Cash Flow Statement'!M49</f>
        <v>42773</v>
      </c>
      <c r="M42" s="445">
        <f>L42+'Cash Flow Statement'!N47+'Cash Flow Statement'!N48+'Cash Flow Statement'!N49</f>
        <v>42773</v>
      </c>
      <c r="N42" s="445">
        <f>M42+'Cash Flow Statement'!O47+'Cash Flow Statement'!O48+'Cash Flow Statement'!O49</f>
        <v>42773</v>
      </c>
      <c r="O42" s="445">
        <f>N42+'Cash Flow Statement'!P47+'Cash Flow Statement'!P48+'Cash Flow Statement'!P49</f>
        <v>42773</v>
      </c>
      <c r="P42" s="445">
        <f>O42+'Cash Flow Statement'!Q47+'Cash Flow Statement'!Q48+'Cash Flow Statement'!Q49</f>
        <v>42874</v>
      </c>
    </row>
    <row r="43" spans="1:16" s="10" customFormat="1" ht="12.75" customHeight="1" x14ac:dyDescent="0.2">
      <c r="A43" s="287"/>
      <c r="B43" s="287" t="s">
        <v>30</v>
      </c>
      <c r="C43" s="287"/>
      <c r="D43" s="303">
        <v>-36</v>
      </c>
      <c r="E43" s="303">
        <v>363</v>
      </c>
      <c r="F43" s="303">
        <v>54</v>
      </c>
      <c r="G43" s="303">
        <v>-361</v>
      </c>
      <c r="H43" s="303">
        <v>-143</v>
      </c>
      <c r="I43" s="303">
        <v>-670</v>
      </c>
      <c r="J43" s="303">
        <v>361</v>
      </c>
      <c r="K43" s="445">
        <f>J43+'Cash Flow Statement'!L60</f>
        <v>365</v>
      </c>
      <c r="L43" s="445">
        <f>K43+'Cash Flow Statement'!M60</f>
        <v>224</v>
      </c>
      <c r="M43" s="445">
        <f>L43+'Cash Flow Statement'!N60</f>
        <v>395</v>
      </c>
      <c r="N43" s="445">
        <f>M43+'Cash Flow Statement'!O60</f>
        <v>399</v>
      </c>
      <c r="O43" s="445">
        <f>N43+'Cash Flow Statement'!P60</f>
        <v>258</v>
      </c>
      <c r="P43" s="445">
        <f>O43+'Cash Flow Statement'!Q60</f>
        <v>429</v>
      </c>
    </row>
    <row r="44" spans="1:16" s="10" customFormat="1" ht="12.75" customHeight="1" x14ac:dyDescent="0.2">
      <c r="A44" s="287"/>
      <c r="B44" s="287" t="s">
        <v>330</v>
      </c>
      <c r="C44" s="287"/>
      <c r="D44" s="381">
        <v>-6083</v>
      </c>
      <c r="E44" s="381">
        <v>-5399</v>
      </c>
      <c r="F44" s="381">
        <v>329</v>
      </c>
      <c r="G44" s="381">
        <v>12885</v>
      </c>
      <c r="H44" s="381">
        <v>27882</v>
      </c>
      <c r="I44" s="381">
        <v>35209</v>
      </c>
      <c r="J44" s="381">
        <v>39003</v>
      </c>
      <c r="K44" s="445">
        <f ca="1">J44+'Cash Flow Statement'!L7+'Cash Flow Statement'!L9</f>
        <v>44965.709553329361</v>
      </c>
      <c r="L44" s="445">
        <f ca="1">K44+'Cash Flow Statement'!M7+'Cash Flow Statement'!M9</f>
        <v>55803.123503937728</v>
      </c>
      <c r="M44" s="445">
        <f ca="1">L44+'Cash Flow Statement'!N7+'Cash Flow Statement'!N9</f>
        <v>69443.130583788079</v>
      </c>
      <c r="N44" s="445">
        <f ca="1">M44+'Cash Flow Statement'!O7+'Cash Flow Statement'!O9</f>
        <v>89396.063996396173</v>
      </c>
      <c r="O44" s="445">
        <f ca="1">N44+'Cash Flow Statement'!P7+'Cash Flow Statement'!P9</f>
        <v>116100.85726568072</v>
      </c>
      <c r="P44" s="445">
        <f ca="1">O44+'Cash Flow Statement'!Q7+'Cash Flow Statement'!Q9</f>
        <v>151566.58728650422</v>
      </c>
    </row>
    <row r="45" spans="1:16" s="2" customFormat="1" ht="12.75" customHeight="1" x14ac:dyDescent="0.2">
      <c r="A45" s="287"/>
      <c r="B45" s="286" t="s">
        <v>62</v>
      </c>
      <c r="C45" s="286"/>
      <c r="D45" s="330">
        <f>SUM(D41:D44)</f>
        <v>6618</v>
      </c>
      <c r="E45" s="330">
        <f t="shared" ref="E45:P45" si="12">SUM(E41:E44)</f>
        <v>22225</v>
      </c>
      <c r="F45" s="330">
        <f t="shared" si="12"/>
        <v>30189</v>
      </c>
      <c r="G45" s="330">
        <f t="shared" si="12"/>
        <v>44704</v>
      </c>
      <c r="H45" s="330">
        <f t="shared" si="12"/>
        <v>62634</v>
      </c>
      <c r="I45" s="330">
        <f t="shared" si="12"/>
        <v>72913</v>
      </c>
      <c r="J45" s="330">
        <f t="shared" si="12"/>
        <v>82137</v>
      </c>
      <c r="K45" s="330">
        <f t="shared" ca="1" si="12"/>
        <v>88103.709553329361</v>
      </c>
      <c r="L45" s="330">
        <f t="shared" ca="1" si="12"/>
        <v>98800.123503937735</v>
      </c>
      <c r="M45" s="330">
        <f t="shared" ca="1" si="12"/>
        <v>112611.13058378808</v>
      </c>
      <c r="N45" s="330">
        <f t="shared" ca="1" si="12"/>
        <v>132568.06399639617</v>
      </c>
      <c r="O45" s="330">
        <f t="shared" ca="1" si="12"/>
        <v>159131.85726568074</v>
      </c>
      <c r="P45" s="330">
        <f t="shared" ca="1" si="12"/>
        <v>194869.58728650422</v>
      </c>
    </row>
    <row r="46" spans="1:16" s="10" customFormat="1" ht="12.75" customHeight="1" x14ac:dyDescent="0.2">
      <c r="A46" s="287" t="s">
        <v>269</v>
      </c>
      <c r="B46" s="287"/>
      <c r="C46" s="287"/>
      <c r="D46" s="381">
        <v>849</v>
      </c>
      <c r="E46" s="381">
        <v>850</v>
      </c>
      <c r="F46" s="381">
        <v>826</v>
      </c>
      <c r="G46" s="381">
        <v>785</v>
      </c>
      <c r="H46" s="381">
        <v>733</v>
      </c>
      <c r="I46" s="381">
        <v>704</v>
      </c>
      <c r="J46" s="381">
        <v>670</v>
      </c>
      <c r="K46" s="445">
        <f>J46+'Cash Flow Statement'!L58</f>
        <v>670</v>
      </c>
      <c r="L46" s="445">
        <f>K46+'Cash Flow Statement'!M58</f>
        <v>670</v>
      </c>
      <c r="M46" s="445">
        <f>L46+'Cash Flow Statement'!N58</f>
        <v>670</v>
      </c>
      <c r="N46" s="445">
        <f>M46+'Cash Flow Statement'!O58</f>
        <v>670</v>
      </c>
      <c r="O46" s="445">
        <f>N46+'Cash Flow Statement'!P58</f>
        <v>670</v>
      </c>
      <c r="P46" s="445">
        <f>O46+'Cash Flow Statement'!Q58</f>
        <v>670</v>
      </c>
    </row>
    <row r="47" spans="1:16" s="2" customFormat="1" ht="21" customHeight="1" thickBot="1" x14ac:dyDescent="0.25">
      <c r="A47" s="287"/>
      <c r="B47" s="286" t="s">
        <v>63</v>
      </c>
      <c r="C47" s="286"/>
      <c r="D47" s="312">
        <f>D36+D45+D38+D39+D46</f>
        <v>34309</v>
      </c>
      <c r="E47" s="312">
        <f t="shared" ref="E47:P47" si="13">E36+E45+E38+E39+E46</f>
        <v>52148</v>
      </c>
      <c r="F47" s="312">
        <f t="shared" si="13"/>
        <v>62131</v>
      </c>
      <c r="G47" s="312">
        <f t="shared" si="13"/>
        <v>82338</v>
      </c>
      <c r="H47" s="312">
        <f t="shared" si="13"/>
        <v>106618</v>
      </c>
      <c r="I47" s="312">
        <f t="shared" si="13"/>
        <v>122070</v>
      </c>
      <c r="J47" s="312">
        <f t="shared" si="13"/>
        <v>137806</v>
      </c>
      <c r="K47" s="312">
        <f t="shared" ca="1" si="13"/>
        <v>164139.26468115055</v>
      </c>
      <c r="L47" s="312">
        <f t="shared" ca="1" si="13"/>
        <v>200683.01275494153</v>
      </c>
      <c r="M47" s="312">
        <f t="shared" ca="1" si="13"/>
        <v>236742.98255164374</v>
      </c>
      <c r="N47" s="312">
        <f t="shared" ca="1" si="13"/>
        <v>264832.08960663597</v>
      </c>
      <c r="O47" s="312">
        <f t="shared" ca="1" si="13"/>
        <v>298295.41988565004</v>
      </c>
      <c r="P47" s="312">
        <f t="shared" ca="1" si="13"/>
        <v>359291.71847591881</v>
      </c>
    </row>
    <row r="48" spans="1:16" s="2" customFormat="1" ht="21" customHeight="1" thickTop="1" x14ac:dyDescent="0.2">
      <c r="A48" s="286" t="s">
        <v>19</v>
      </c>
      <c r="B48" s="287"/>
      <c r="C48" s="286"/>
      <c r="D48" s="305"/>
      <c r="E48" s="305"/>
      <c r="F48" s="305"/>
      <c r="G48" s="305"/>
      <c r="H48" s="305"/>
      <c r="I48" s="305"/>
      <c r="J48" s="305"/>
    </row>
    <row r="49" spans="1:16" s="50" customFormat="1" ht="12.75" customHeight="1" x14ac:dyDescent="0.2">
      <c r="A49" s="238"/>
      <c r="B49" s="313" t="s">
        <v>8</v>
      </c>
      <c r="C49" s="299"/>
      <c r="D49" s="314" t="str">
        <f t="shared" ref="D49:P49" si="14">IF(ROUND(D23-D47,1)=0,"Y","N")</f>
        <v>Y</v>
      </c>
      <c r="E49" s="314" t="str">
        <f t="shared" si="14"/>
        <v>Y</v>
      </c>
      <c r="F49" s="314" t="str">
        <f t="shared" si="14"/>
        <v>Y</v>
      </c>
      <c r="G49" s="314" t="str">
        <f t="shared" si="14"/>
        <v>Y</v>
      </c>
      <c r="H49" s="314" t="str">
        <f t="shared" si="14"/>
        <v>Y</v>
      </c>
      <c r="I49" s="314" t="str">
        <f t="shared" si="14"/>
        <v>Y</v>
      </c>
      <c r="J49" s="314" t="str">
        <f t="shared" si="14"/>
        <v>Y</v>
      </c>
      <c r="K49" s="314" t="str">
        <f t="shared" ca="1" si="14"/>
        <v>Y</v>
      </c>
      <c r="L49" s="314" t="str">
        <f t="shared" ca="1" si="14"/>
        <v>Y</v>
      </c>
      <c r="M49" s="314" t="str">
        <f t="shared" ca="1" si="14"/>
        <v>Y</v>
      </c>
      <c r="N49" s="314" t="str">
        <f t="shared" ca="1" si="14"/>
        <v>Y</v>
      </c>
      <c r="O49" s="314" t="str">
        <f t="shared" ca="1" si="14"/>
        <v>Y</v>
      </c>
      <c r="P49" s="314" t="str">
        <f t="shared" ca="1" si="14"/>
        <v>Y</v>
      </c>
    </row>
    <row r="50" spans="1:16" ht="12.75" customHeight="1" x14ac:dyDescent="0.2">
      <c r="D50" s="9"/>
      <c r="E50" s="9"/>
      <c r="F50" s="9"/>
      <c r="G50" s="9"/>
      <c r="H50" s="9"/>
      <c r="I50" s="9"/>
      <c r="J50" s="9"/>
    </row>
    <row r="51" spans="1:16" ht="12.75" customHeight="1" x14ac:dyDescent="0.2">
      <c r="E51" s="3"/>
      <c r="F51" s="3"/>
      <c r="G51" s="3"/>
      <c r="H51" s="3"/>
      <c r="I51" s="3"/>
      <c r="J51" s="3"/>
    </row>
    <row r="52" spans="1:16" ht="12.75" customHeight="1" x14ac:dyDescent="0.2">
      <c r="E52" s="3"/>
      <c r="F52" s="3"/>
      <c r="G52" s="3"/>
      <c r="H52" s="3"/>
      <c r="I52" s="3"/>
      <c r="J52" s="3"/>
    </row>
    <row r="53" spans="1:16" ht="12.75" customHeight="1" x14ac:dyDescent="0.2"/>
    <row r="54" spans="1:16" ht="12.75" customHeight="1" x14ac:dyDescent="0.2"/>
    <row r="55" spans="1:16" ht="12.75" customHeight="1" x14ac:dyDescent="0.2"/>
    <row r="56" spans="1:16" ht="12.75" customHeight="1" x14ac:dyDescent="0.2"/>
    <row r="57" spans="1:16" ht="12.75" customHeight="1" x14ac:dyDescent="0.2"/>
    <row r="58" spans="1:16" ht="12.75" customHeight="1" x14ac:dyDescent="0.2"/>
    <row r="59" spans="1:16" ht="12.75" customHeight="1" x14ac:dyDescent="0.2"/>
    <row r="60" spans="1:16" ht="12.75" customHeight="1" x14ac:dyDescent="0.2"/>
    <row r="61" spans="1:16" ht="12.75" customHeight="1" x14ac:dyDescent="0.2"/>
    <row r="62" spans="1:16" ht="12.75" customHeight="1" x14ac:dyDescent="0.2"/>
    <row r="63" spans="1:16" ht="12.75" customHeight="1" x14ac:dyDescent="0.2"/>
  </sheetData>
  <mergeCells count="1">
    <mergeCell ref="A1:C1"/>
  </mergeCells>
  <phoneticPr fontId="1" type="noConversion"/>
  <pageMargins left="0.75" right="0.75" top="1" bottom="1" header="0.5" footer="0.5"/>
  <pageSetup scale="83" orientation="landscape" r:id="rId1"/>
  <headerFooter alignWithMargins="0">
    <oddFooter>&amp;LThe Analyst Exchange&amp;8
On - Line Training
www.theanalystexchange.com
&amp;R&amp;F, &amp;A
&amp;P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8"/>
  <sheetViews>
    <sheetView zoomScaleNormal="100" workbookViewId="0">
      <pane xSplit="3" ySplit="5" topLeftCell="D6" activePane="bottomRight" state="frozen"/>
      <selection activeCell="C5" sqref="C5"/>
      <selection pane="topRight" activeCell="C5" sqref="C5"/>
      <selection pane="bottomLeft" activeCell="C5" sqref="C5"/>
      <selection pane="bottomRight" activeCell="H13" sqref="H13"/>
    </sheetView>
  </sheetViews>
  <sheetFormatPr defaultRowHeight="20.100000000000001" customHeight="1" x14ac:dyDescent="0.2"/>
  <cols>
    <col min="1" max="2" width="2.7109375" style="2" customWidth="1"/>
    <col min="3" max="3" width="54.7109375" style="2" customWidth="1"/>
    <col min="4" max="5" width="9.7109375" style="3" customWidth="1"/>
    <col min="6" max="6" width="9.7109375" style="49" customWidth="1"/>
    <col min="7" max="7" width="9.7109375" style="2" customWidth="1"/>
    <col min="8" max="11" width="9.7109375" style="49" customWidth="1"/>
    <col min="12" max="16384" width="9.140625" style="49"/>
  </cols>
  <sheetData>
    <row r="1" spans="1:14" ht="30" customHeight="1" x14ac:dyDescent="0.2">
      <c r="A1" s="32"/>
      <c r="B1" s="32"/>
      <c r="C1" s="32"/>
      <c r="D1" s="33"/>
      <c r="E1" s="33"/>
      <c r="F1" s="51"/>
      <c r="G1" s="32"/>
      <c r="H1" s="51"/>
      <c r="I1" s="51"/>
      <c r="J1" s="51"/>
      <c r="K1" s="51"/>
    </row>
    <row r="2" spans="1:14" ht="12.75" customHeight="1" x14ac:dyDescent="0.2">
      <c r="A2" s="30" t="s">
        <v>2</v>
      </c>
      <c r="B2" s="30"/>
      <c r="C2" s="30"/>
      <c r="D2" s="31"/>
      <c r="E2" s="31"/>
      <c r="F2" s="34"/>
      <c r="G2" s="30"/>
      <c r="H2" s="34"/>
      <c r="I2" s="34"/>
      <c r="J2" s="34"/>
      <c r="K2" s="34"/>
      <c r="L2" s="34"/>
    </row>
    <row r="3" spans="1:14" ht="12.75" customHeight="1" x14ac:dyDescent="0.2">
      <c r="A3" s="4" t="str">
        <f>'Balance Sheet'!A3</f>
        <v>(in US$ millions except per share amounts)</v>
      </c>
      <c r="B3" s="5"/>
      <c r="C3" s="5"/>
      <c r="D3" s="41" t="s">
        <v>31</v>
      </c>
      <c r="E3" s="41"/>
      <c r="F3" s="43"/>
      <c r="G3" s="44" t="s">
        <v>32</v>
      </c>
      <c r="H3" s="45"/>
      <c r="I3" s="46"/>
      <c r="J3" s="46"/>
      <c r="K3" s="46"/>
      <c r="L3" s="46"/>
    </row>
    <row r="4" spans="1:14" ht="12.75" customHeight="1" x14ac:dyDescent="0.2">
      <c r="A4" s="4"/>
      <c r="B4" s="5"/>
      <c r="C4" s="5"/>
      <c r="D4" s="36"/>
      <c r="E4" s="36"/>
      <c r="F4" s="35"/>
      <c r="G4" s="35"/>
      <c r="H4" s="35"/>
      <c r="I4" s="35"/>
      <c r="J4" s="35"/>
      <c r="K4" s="35"/>
      <c r="L4" s="35"/>
    </row>
    <row r="5" spans="1:14" ht="12.75" customHeight="1" x14ac:dyDescent="0.2">
      <c r="A5" s="37" t="s">
        <v>17</v>
      </c>
      <c r="B5" s="38"/>
      <c r="C5" s="39"/>
      <c r="D5" s="47">
        <f>'Income Statement'!I5</f>
        <v>2023</v>
      </c>
      <c r="E5" s="47">
        <f>'Income Statement'!J5</f>
        <v>2024</v>
      </c>
      <c r="F5" s="47">
        <f>'Income Statement'!K5</f>
        <v>2025</v>
      </c>
      <c r="G5" s="48">
        <v>2026</v>
      </c>
      <c r="H5" s="48">
        <v>2027</v>
      </c>
      <c r="I5" s="48">
        <v>2028</v>
      </c>
      <c r="J5" s="48">
        <v>2029</v>
      </c>
      <c r="K5" s="48">
        <v>2030</v>
      </c>
      <c r="L5" s="48">
        <v>2031</v>
      </c>
    </row>
    <row r="6" spans="1:14" s="2" customFormat="1" ht="12.75" customHeight="1" x14ac:dyDescent="0.2">
      <c r="A6" s="280"/>
      <c r="B6" s="280" t="str">
        <f>"Property, plant &amp; equipment on Jan 1 "&amp;G5</f>
        <v>Property, plant &amp; equipment on Jan 1 2026</v>
      </c>
      <c r="C6" s="315"/>
      <c r="D6" s="315"/>
      <c r="E6" s="316"/>
      <c r="F6" s="316"/>
      <c r="G6" s="317">
        <f>'Balance Sheet'!J16</f>
        <v>40643</v>
      </c>
      <c r="H6" s="316"/>
      <c r="I6" s="316"/>
      <c r="J6" s="316"/>
      <c r="K6" s="316"/>
    </row>
    <row r="7" spans="1:14" s="2" customFormat="1" ht="12.75" customHeight="1" x14ac:dyDescent="0.2">
      <c r="A7" s="280"/>
      <c r="B7" s="280" t="s">
        <v>336</v>
      </c>
      <c r="C7" s="315"/>
      <c r="D7" s="315"/>
      <c r="E7" s="316"/>
      <c r="F7" s="316"/>
      <c r="G7" s="317">
        <f>'Balance Sheet'!J15</f>
        <v>4604</v>
      </c>
      <c r="H7" s="316"/>
      <c r="I7" s="316"/>
      <c r="J7" s="316"/>
      <c r="K7" s="316"/>
    </row>
    <row r="8" spans="1:14" s="2" customFormat="1" ht="12.75" customHeight="1" x14ac:dyDescent="0.2">
      <c r="A8" s="280"/>
      <c r="B8" s="280" t="s">
        <v>331</v>
      </c>
      <c r="C8" s="315"/>
      <c r="D8" s="315"/>
      <c r="E8" s="316"/>
      <c r="F8" s="316"/>
      <c r="G8" s="317">
        <f>'Balance Sheet'!J14</f>
        <v>4912</v>
      </c>
      <c r="H8" s="316"/>
      <c r="I8" s="316"/>
      <c r="J8" s="316"/>
      <c r="K8" s="316"/>
    </row>
    <row r="9" spans="1:14" s="2" customFormat="1" ht="12.75" customHeight="1" x14ac:dyDescent="0.2">
      <c r="A9" s="280"/>
      <c r="B9" s="280" t="s">
        <v>333</v>
      </c>
      <c r="C9" s="315"/>
      <c r="D9" s="315"/>
      <c r="E9" s="316"/>
      <c r="F9" s="316"/>
      <c r="G9" s="317">
        <v>124</v>
      </c>
      <c r="H9" s="316"/>
      <c r="I9" s="316"/>
      <c r="J9" s="316"/>
      <c r="K9" s="316"/>
    </row>
    <row r="10" spans="1:14" s="2" customFormat="1" ht="12.75" customHeight="1" x14ac:dyDescent="0.2">
      <c r="A10" s="280"/>
      <c r="B10" s="280" t="s">
        <v>88</v>
      </c>
      <c r="C10" s="280"/>
      <c r="D10" s="315"/>
      <c r="E10" s="315"/>
      <c r="F10" s="315"/>
      <c r="G10" s="315">
        <f>'Cash Flow Statement'!L35*(-1)</f>
        <v>25000</v>
      </c>
      <c r="H10" s="315">
        <f>'Cash Flow Statement'!M35*(-1)</f>
        <v>20000</v>
      </c>
      <c r="I10" s="315">
        <f>'Cash Flow Statement'!N35*(-1)</f>
        <v>16000</v>
      </c>
      <c r="J10" s="315">
        <f>'Cash Flow Statement'!O35*(-1)</f>
        <v>16000</v>
      </c>
      <c r="K10" s="315">
        <f>'Cash Flow Statement'!P35*(-1)</f>
        <v>14000</v>
      </c>
      <c r="L10" s="315">
        <f>'Cash Flow Statement'!Q35*(-1)</f>
        <v>14000</v>
      </c>
    </row>
    <row r="11" spans="1:14" s="2" customFormat="1" ht="21" customHeight="1" x14ac:dyDescent="0.2">
      <c r="A11" s="280" t="s">
        <v>64</v>
      </c>
      <c r="B11" s="287"/>
      <c r="C11" s="280"/>
      <c r="D11" s="318"/>
      <c r="E11" s="318"/>
      <c r="F11" s="318"/>
      <c r="G11" s="319"/>
      <c r="H11" s="319"/>
      <c r="I11" s="319"/>
      <c r="J11" s="319"/>
      <c r="K11" s="319"/>
      <c r="N11" s="2" t="s">
        <v>335</v>
      </c>
    </row>
    <row r="12" spans="1:14" s="2" customFormat="1" ht="12.75" customHeight="1" x14ac:dyDescent="0.2">
      <c r="A12" s="280"/>
      <c r="B12" s="280" t="s">
        <v>9</v>
      </c>
      <c r="C12" s="280"/>
      <c r="D12" s="320"/>
      <c r="E12" s="320"/>
      <c r="F12" s="320"/>
      <c r="G12" s="287"/>
      <c r="H12" s="287"/>
      <c r="I12" s="287"/>
      <c r="J12" s="287"/>
      <c r="K12" s="287"/>
    </row>
    <row r="13" spans="1:14" s="2" customFormat="1" ht="12.75" customHeight="1" x14ac:dyDescent="0.2">
      <c r="A13" s="280"/>
      <c r="B13" s="280"/>
      <c r="C13" s="321" t="s">
        <v>11</v>
      </c>
      <c r="D13" s="320"/>
      <c r="E13" s="320"/>
      <c r="F13" s="320"/>
      <c r="G13" s="320">
        <v>11</v>
      </c>
      <c r="H13" s="320"/>
      <c r="I13" s="320"/>
      <c r="J13" s="320"/>
      <c r="K13" s="320"/>
      <c r="M13" s="2" t="s">
        <v>337</v>
      </c>
    </row>
    <row r="14" spans="1:14" s="2" customFormat="1" ht="12.75" customHeight="1" x14ac:dyDescent="0.2">
      <c r="A14" s="280"/>
      <c r="B14" s="280"/>
      <c r="C14" s="321" t="s">
        <v>332</v>
      </c>
      <c r="D14" s="320"/>
      <c r="E14" s="320"/>
      <c r="F14" s="320"/>
      <c r="G14" s="320">
        <v>22</v>
      </c>
      <c r="H14" s="320"/>
      <c r="I14" s="320"/>
      <c r="J14" s="320"/>
      <c r="K14" s="320"/>
    </row>
    <row r="15" spans="1:14" s="2" customFormat="1" ht="12.75" customHeight="1" x14ac:dyDescent="0.2">
      <c r="A15" s="280"/>
      <c r="B15" s="280"/>
      <c r="C15" s="321" t="s">
        <v>233</v>
      </c>
      <c r="D15" s="320"/>
      <c r="E15" s="320"/>
      <c r="F15" s="320"/>
      <c r="G15" s="320">
        <v>3</v>
      </c>
      <c r="H15" s="320"/>
      <c r="I15" s="320"/>
      <c r="J15" s="320"/>
      <c r="K15" s="320"/>
      <c r="M15" s="2" t="s">
        <v>339</v>
      </c>
    </row>
    <row r="16" spans="1:14" s="2" customFormat="1" ht="12.75" customHeight="1" x14ac:dyDescent="0.2">
      <c r="A16" s="280"/>
      <c r="B16" s="280"/>
      <c r="C16" s="321" t="s">
        <v>334</v>
      </c>
      <c r="D16" s="320"/>
      <c r="E16" s="320"/>
      <c r="F16" s="320"/>
      <c r="G16" s="320">
        <v>7</v>
      </c>
      <c r="H16" s="320"/>
      <c r="I16" s="320"/>
      <c r="J16" s="320"/>
      <c r="K16" s="320"/>
    </row>
    <row r="17" spans="1:13" s="2" customFormat="1" ht="12.75" customHeight="1" x14ac:dyDescent="0.2">
      <c r="A17" s="280"/>
      <c r="B17" s="280"/>
      <c r="C17" s="297" t="s">
        <v>94</v>
      </c>
      <c r="D17" s="320"/>
      <c r="E17" s="320"/>
      <c r="F17" s="320"/>
      <c r="G17" s="320">
        <v>10</v>
      </c>
      <c r="H17" s="320">
        <v>11</v>
      </c>
      <c r="I17" s="320">
        <v>12</v>
      </c>
      <c r="J17" s="320">
        <v>12</v>
      </c>
      <c r="K17" s="320">
        <v>12</v>
      </c>
      <c r="L17" s="320">
        <v>12</v>
      </c>
      <c r="M17" s="2" t="s">
        <v>340</v>
      </c>
    </row>
    <row r="18" spans="1:13" s="2" customFormat="1" ht="12.75" customHeight="1" x14ac:dyDescent="0.2">
      <c r="A18" s="280"/>
      <c r="B18" s="280" t="s">
        <v>95</v>
      </c>
      <c r="C18" s="280"/>
      <c r="D18" s="320"/>
      <c r="E18" s="320"/>
      <c r="F18" s="320"/>
      <c r="G18" s="320"/>
      <c r="H18" s="320"/>
      <c r="I18" s="320"/>
      <c r="J18" s="320"/>
      <c r="K18" s="320"/>
    </row>
    <row r="19" spans="1:13" s="2" customFormat="1" ht="12.75" customHeight="1" x14ac:dyDescent="0.2">
      <c r="A19" s="280"/>
      <c r="B19" s="287"/>
      <c r="C19" s="321" t="s">
        <v>11</v>
      </c>
      <c r="D19" s="322"/>
      <c r="E19" s="322"/>
      <c r="F19" s="322"/>
      <c r="G19" s="322">
        <f t="shared" ref="G19:L19" si="0">$G$6/$G$13</f>
        <v>3694.818181818182</v>
      </c>
      <c r="H19" s="322">
        <f t="shared" si="0"/>
        <v>3694.818181818182</v>
      </c>
      <c r="I19" s="322">
        <f t="shared" si="0"/>
        <v>3694.818181818182</v>
      </c>
      <c r="J19" s="322">
        <f t="shared" si="0"/>
        <v>3694.818181818182</v>
      </c>
      <c r="K19" s="322">
        <f t="shared" si="0"/>
        <v>3694.818181818182</v>
      </c>
      <c r="L19" s="322">
        <f t="shared" si="0"/>
        <v>3694.818181818182</v>
      </c>
    </row>
    <row r="20" spans="1:13" s="2" customFormat="1" ht="12.75" customHeight="1" x14ac:dyDescent="0.2">
      <c r="A20" s="280"/>
      <c r="B20" s="287"/>
      <c r="C20" s="321" t="s">
        <v>332</v>
      </c>
      <c r="D20" s="322"/>
      <c r="E20" s="322"/>
      <c r="F20" s="322"/>
      <c r="G20" s="322">
        <f t="shared" ref="G20:L20" si="1">$G$7/$G$14</f>
        <v>209.27272727272728</v>
      </c>
      <c r="H20" s="322">
        <f t="shared" si="1"/>
        <v>209.27272727272728</v>
      </c>
      <c r="I20" s="322">
        <f t="shared" si="1"/>
        <v>209.27272727272728</v>
      </c>
      <c r="J20" s="322">
        <f t="shared" si="1"/>
        <v>209.27272727272728</v>
      </c>
      <c r="K20" s="322">
        <f t="shared" si="1"/>
        <v>209.27272727272728</v>
      </c>
      <c r="L20" s="322">
        <f t="shared" si="1"/>
        <v>209.27272727272728</v>
      </c>
    </row>
    <row r="21" spans="1:13" s="2" customFormat="1" ht="12.75" customHeight="1" x14ac:dyDescent="0.2">
      <c r="A21" s="280"/>
      <c r="B21" s="287"/>
      <c r="C21" s="321" t="s">
        <v>272</v>
      </c>
      <c r="D21" s="322"/>
      <c r="E21" s="322"/>
      <c r="F21" s="322"/>
      <c r="G21" s="322">
        <f>$G$8/$G$15</f>
        <v>1637.3333333333333</v>
      </c>
      <c r="H21" s="322">
        <f t="shared" ref="H21:L21" si="2">$G$8/$G$15</f>
        <v>1637.3333333333333</v>
      </c>
      <c r="I21" s="322">
        <f t="shared" si="2"/>
        <v>1637.3333333333333</v>
      </c>
      <c r="J21" s="322">
        <f t="shared" si="2"/>
        <v>1637.3333333333333</v>
      </c>
      <c r="K21" s="322">
        <f t="shared" si="2"/>
        <v>1637.3333333333333</v>
      </c>
      <c r="L21" s="322">
        <f t="shared" si="2"/>
        <v>1637.3333333333333</v>
      </c>
    </row>
    <row r="22" spans="1:13" s="2" customFormat="1" ht="12.75" customHeight="1" x14ac:dyDescent="0.2">
      <c r="A22" s="280"/>
      <c r="B22" s="287"/>
      <c r="C22" s="321" t="s">
        <v>334</v>
      </c>
      <c r="D22" s="322"/>
      <c r="E22" s="322"/>
      <c r="F22" s="322"/>
      <c r="G22" s="322">
        <f>$G$9/$G$16</f>
        <v>17.714285714285715</v>
      </c>
      <c r="H22" s="322">
        <f t="shared" ref="H22:L22" si="3">$G$9/$G$16</f>
        <v>17.714285714285715</v>
      </c>
      <c r="I22" s="322">
        <f t="shared" si="3"/>
        <v>17.714285714285715</v>
      </c>
      <c r="J22" s="322">
        <f t="shared" si="3"/>
        <v>17.714285714285715</v>
      </c>
      <c r="K22" s="322">
        <f t="shared" si="3"/>
        <v>17.714285714285715</v>
      </c>
      <c r="L22" s="322">
        <f t="shared" si="3"/>
        <v>17.714285714285715</v>
      </c>
    </row>
    <row r="23" spans="1:13" s="2" customFormat="1" ht="12.75" customHeight="1" x14ac:dyDescent="0.2">
      <c r="A23" s="287"/>
      <c r="B23" s="287"/>
      <c r="C23" s="323" t="str">
        <f>G$5&amp;" CAPEX"</f>
        <v>2026 CAPEX</v>
      </c>
      <c r="D23" s="324"/>
      <c r="E23" s="325"/>
      <c r="F23" s="325"/>
      <c r="G23" s="325">
        <f>$G$10/$G$17</f>
        <v>2500</v>
      </c>
      <c r="H23" s="325">
        <f t="shared" ref="H23:L23" si="4">$G$10/$G$17</f>
        <v>2500</v>
      </c>
      <c r="I23" s="325">
        <f t="shared" si="4"/>
        <v>2500</v>
      </c>
      <c r="J23" s="325">
        <f t="shared" si="4"/>
        <v>2500</v>
      </c>
      <c r="K23" s="325">
        <f t="shared" si="4"/>
        <v>2500</v>
      </c>
      <c r="L23" s="325">
        <f t="shared" si="4"/>
        <v>2500</v>
      </c>
    </row>
    <row r="24" spans="1:13" s="2" customFormat="1" ht="12.75" customHeight="1" x14ac:dyDescent="0.2">
      <c r="A24" s="287"/>
      <c r="B24" s="287"/>
      <c r="C24" s="323" t="str">
        <f>H$5&amp;" CAPEX"</f>
        <v>2027 CAPEX</v>
      </c>
      <c r="D24" s="324"/>
      <c r="E24" s="325"/>
      <c r="F24" s="325"/>
      <c r="G24" s="325"/>
      <c r="H24" s="325">
        <f>$H$10/$H$17</f>
        <v>1818.1818181818182</v>
      </c>
      <c r="I24" s="325">
        <f t="shared" ref="I24:L24" si="5">$H$10/$H$17</f>
        <v>1818.1818181818182</v>
      </c>
      <c r="J24" s="325">
        <f t="shared" si="5"/>
        <v>1818.1818181818182</v>
      </c>
      <c r="K24" s="325">
        <f t="shared" si="5"/>
        <v>1818.1818181818182</v>
      </c>
      <c r="L24" s="325">
        <f t="shared" si="5"/>
        <v>1818.1818181818182</v>
      </c>
    </row>
    <row r="25" spans="1:13" s="2" customFormat="1" ht="12.75" customHeight="1" x14ac:dyDescent="0.2">
      <c r="A25" s="286"/>
      <c r="B25" s="287"/>
      <c r="C25" s="323" t="str">
        <f>I$5&amp;" CAPEX"</f>
        <v>2028 CAPEX</v>
      </c>
      <c r="D25" s="326"/>
      <c r="E25" s="326"/>
      <c r="F25" s="326"/>
      <c r="G25" s="326"/>
      <c r="H25" s="326"/>
      <c r="I25" s="325">
        <f>$I$10/$I$17</f>
        <v>1333.3333333333333</v>
      </c>
      <c r="J25" s="325">
        <f t="shared" ref="J25:L25" si="6">$I$10/$I$17</f>
        <v>1333.3333333333333</v>
      </c>
      <c r="K25" s="325">
        <f t="shared" si="6"/>
        <v>1333.3333333333333</v>
      </c>
      <c r="L25" s="325">
        <f t="shared" si="6"/>
        <v>1333.3333333333333</v>
      </c>
    </row>
    <row r="26" spans="1:13" s="2" customFormat="1" ht="12.75" customHeight="1" x14ac:dyDescent="0.2">
      <c r="A26" s="286"/>
      <c r="B26" s="287"/>
      <c r="C26" s="323" t="str">
        <f>J$5&amp;" CAPEX"</f>
        <v>2029 CAPEX</v>
      </c>
      <c r="D26" s="325"/>
      <c r="E26" s="325"/>
      <c r="F26" s="325"/>
      <c r="G26" s="325"/>
      <c r="H26" s="325"/>
      <c r="I26" s="325"/>
      <c r="J26" s="325">
        <f>$J$10/$J$17</f>
        <v>1333.3333333333333</v>
      </c>
      <c r="K26" s="325">
        <f>$J$10/$J$17</f>
        <v>1333.3333333333333</v>
      </c>
      <c r="L26" s="325">
        <f>$J$10/$J$17</f>
        <v>1333.3333333333333</v>
      </c>
    </row>
    <row r="27" spans="1:13" s="2" customFormat="1" ht="12.75" customHeight="1" x14ac:dyDescent="0.2">
      <c r="A27" s="286"/>
      <c r="B27" s="287"/>
      <c r="C27" s="323" t="str">
        <f>K$5&amp;" CAPEX"</f>
        <v>2030 CAPEX</v>
      </c>
      <c r="D27" s="327"/>
      <c r="E27" s="328"/>
      <c r="F27" s="328"/>
      <c r="G27" s="329"/>
      <c r="H27" s="329"/>
      <c r="I27" s="329"/>
      <c r="J27" s="329"/>
      <c r="K27" s="329">
        <f>K10/K17</f>
        <v>1166.6666666666667</v>
      </c>
      <c r="L27" s="329">
        <f>L10/L17</f>
        <v>1166.6666666666667</v>
      </c>
    </row>
    <row r="28" spans="1:13" s="2" customFormat="1" ht="12.75" customHeight="1" x14ac:dyDescent="0.2">
      <c r="A28" s="313"/>
      <c r="B28" s="313" t="s">
        <v>65</v>
      </c>
      <c r="C28" s="313"/>
      <c r="D28" s="330"/>
      <c r="E28" s="330"/>
      <c r="F28" s="330"/>
      <c r="G28" s="330">
        <f>SUM(G19:G27)</f>
        <v>8059.1385281385283</v>
      </c>
      <c r="H28" s="330">
        <f t="shared" ref="H28:L28" si="7">SUM(H19:H27)</f>
        <v>9877.3203463203463</v>
      </c>
      <c r="I28" s="330">
        <f t="shared" si="7"/>
        <v>11210.65367965368</v>
      </c>
      <c r="J28" s="330">
        <f t="shared" si="7"/>
        <v>12543.987012987014</v>
      </c>
      <c r="K28" s="330">
        <f t="shared" si="7"/>
        <v>13710.65367965368</v>
      </c>
      <c r="L28" s="330">
        <f t="shared" si="7"/>
        <v>13710.65367965368</v>
      </c>
    </row>
  </sheetData>
  <phoneticPr fontId="1" type="noConversion"/>
  <pageMargins left="0.75" right="0.75" top="1" bottom="1" header="0.5" footer="0.5"/>
  <pageSetup scale="83" orientation="landscape" r:id="rId1"/>
  <headerFooter alignWithMargins="0">
    <oddFooter>&amp;LThe Analyst Exchange&amp;8
On - Line Training
www.theanalystexchange.com
&amp;R&amp;F, &amp;A
&amp;P of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8"/>
  <sheetViews>
    <sheetView zoomScaleNormal="100" workbookViewId="0">
      <pane xSplit="3" ySplit="5" topLeftCell="D17" activePane="bottomRight" state="frozen"/>
      <selection activeCell="C5" sqref="C5"/>
      <selection pane="topRight" activeCell="C5" sqref="C5"/>
      <selection pane="bottomLeft" activeCell="C5" sqref="C5"/>
      <selection pane="bottomRight" activeCell="G11" sqref="G11"/>
    </sheetView>
  </sheetViews>
  <sheetFormatPr defaultRowHeight="20.100000000000001" customHeight="1" x14ac:dyDescent="0.2"/>
  <cols>
    <col min="1" max="2" width="2.7109375" style="2" customWidth="1"/>
    <col min="3" max="3" width="54.7109375" style="2" customWidth="1"/>
    <col min="4" max="5" width="9.7109375" style="3" customWidth="1"/>
    <col min="6" max="6" width="9.7109375" style="49" customWidth="1"/>
    <col min="7" max="7" width="9.7109375" style="2" customWidth="1"/>
    <col min="8" max="11" width="9.7109375" style="49" customWidth="1"/>
    <col min="12" max="16384" width="9.140625" style="49"/>
  </cols>
  <sheetData>
    <row r="1" spans="1:13" ht="29.65" customHeight="1" x14ac:dyDescent="0.2">
      <c r="A1" s="32"/>
      <c r="B1" s="32"/>
      <c r="C1" s="32"/>
      <c r="D1" s="33"/>
      <c r="E1" s="33"/>
      <c r="F1" s="51"/>
      <c r="G1" s="32"/>
      <c r="H1" s="51"/>
      <c r="I1" s="51"/>
      <c r="J1" s="51"/>
      <c r="K1" s="51"/>
    </row>
    <row r="2" spans="1:13" ht="12.75" customHeight="1" x14ac:dyDescent="0.2">
      <c r="A2" s="30" t="s">
        <v>16</v>
      </c>
      <c r="B2" s="30"/>
      <c r="C2" s="30"/>
      <c r="D2" s="31"/>
      <c r="E2" s="31"/>
      <c r="F2" s="34"/>
      <c r="G2" s="30"/>
      <c r="H2" s="34"/>
      <c r="I2" s="34"/>
      <c r="J2" s="34"/>
      <c r="K2" s="34"/>
      <c r="L2" s="34"/>
    </row>
    <row r="3" spans="1:13" ht="12.75" customHeight="1" x14ac:dyDescent="0.2">
      <c r="A3" s="4" t="str">
        <f>Depreciation!A3</f>
        <v>(in US$ millions except per share amounts)</v>
      </c>
      <c r="B3" s="5"/>
      <c r="C3" s="5"/>
      <c r="D3" s="41" t="s">
        <v>31</v>
      </c>
      <c r="E3" s="41"/>
      <c r="F3" s="43"/>
      <c r="G3" s="44" t="s">
        <v>32</v>
      </c>
      <c r="H3" s="45"/>
      <c r="I3" s="46"/>
      <c r="J3" s="46"/>
      <c r="K3" s="46"/>
      <c r="L3" s="46"/>
    </row>
    <row r="4" spans="1:13" ht="12.75" customHeight="1" x14ac:dyDescent="0.2">
      <c r="A4" s="4"/>
      <c r="B4" s="5"/>
      <c r="C4" s="5"/>
      <c r="D4" s="36"/>
      <c r="E4" s="36"/>
      <c r="F4" s="35"/>
      <c r="G4" s="35"/>
      <c r="H4" s="35"/>
      <c r="I4" s="35"/>
      <c r="J4" s="35"/>
      <c r="K4" s="35"/>
      <c r="L4" s="35"/>
    </row>
    <row r="5" spans="1:13" ht="12.75" customHeight="1" x14ac:dyDescent="0.2">
      <c r="A5" s="37" t="s">
        <v>18</v>
      </c>
      <c r="B5" s="38"/>
      <c r="C5" s="38"/>
      <c r="D5" s="47">
        <f>'Income Statement'!I5</f>
        <v>2023</v>
      </c>
      <c r="E5" s="47">
        <f>'Income Statement'!J5</f>
        <v>2024</v>
      </c>
      <c r="F5" s="47">
        <f>'Income Statement'!K5</f>
        <v>2025</v>
      </c>
      <c r="G5" s="48">
        <v>2026</v>
      </c>
      <c r="H5" s="48">
        <v>2027</v>
      </c>
      <c r="I5" s="48">
        <v>2028</v>
      </c>
      <c r="J5" s="48">
        <v>2029</v>
      </c>
      <c r="K5" s="48">
        <v>2030</v>
      </c>
      <c r="L5" s="48">
        <v>2031</v>
      </c>
    </row>
    <row r="6" spans="1:13" s="2" customFormat="1" ht="21" customHeight="1" x14ac:dyDescent="0.2">
      <c r="A6" s="280" t="s">
        <v>66</v>
      </c>
      <c r="B6" s="280"/>
      <c r="C6" s="280"/>
      <c r="D6" s="315"/>
      <c r="E6" s="315"/>
      <c r="F6" s="315"/>
      <c r="G6" s="315"/>
      <c r="H6" s="315"/>
      <c r="I6" s="315"/>
      <c r="J6" s="315"/>
      <c r="K6" s="315"/>
    </row>
    <row r="7" spans="1:13" s="2" customFormat="1" ht="12.75" customHeight="1" x14ac:dyDescent="0.2">
      <c r="A7" s="280"/>
      <c r="B7" s="287" t="s">
        <v>102</v>
      </c>
      <c r="C7" s="287"/>
      <c r="E7" s="331">
        <f>'Balance Sheet'!I11</f>
        <v>12017</v>
      </c>
      <c r="F7" s="331">
        <f>'Balance Sheet'!J11</f>
        <v>12392</v>
      </c>
      <c r="G7" s="332">
        <f>G8/360*'Income Statement'!L27</f>
        <v>14579.869748745792</v>
      </c>
      <c r="H7" s="332">
        <f>H8/360*'Income Statement'!M27</f>
        <v>22107.61931161768</v>
      </c>
      <c r="I7" s="332">
        <f>I8/360*'Income Statement'!N27</f>
        <v>27634.524139522098</v>
      </c>
      <c r="J7" s="332">
        <f>J8/360*'Income Statement'!O27</f>
        <v>34543.155174402629</v>
      </c>
      <c r="K7" s="332">
        <f>K8/360*'Income Statement'!P27</f>
        <v>43178.943968003281</v>
      </c>
      <c r="L7" s="332">
        <f>L8/360*'Income Statement'!Q27</f>
        <v>53973.679960004105</v>
      </c>
    </row>
    <row r="8" spans="1:13" s="2" customFormat="1" ht="12.75" customHeight="1" x14ac:dyDescent="0.2">
      <c r="A8" s="280"/>
      <c r="B8" s="287"/>
      <c r="C8" s="333" t="s">
        <v>68</v>
      </c>
      <c r="E8" s="334"/>
      <c r="F8" s="334">
        <f>AVERAGE(E7:F7)/'Income Statement'!K27*360</f>
        <v>61.376265977509256</v>
      </c>
      <c r="G8" s="335">
        <f>F8</f>
        <v>61.376265977509256</v>
      </c>
      <c r="H8" s="335">
        <f t="shared" ref="H8:L8" si="0">G8</f>
        <v>61.376265977509256</v>
      </c>
      <c r="I8" s="335">
        <f t="shared" si="0"/>
        <v>61.376265977509256</v>
      </c>
      <c r="J8" s="335">
        <f t="shared" si="0"/>
        <v>61.376265977509256</v>
      </c>
      <c r="K8" s="335">
        <f t="shared" si="0"/>
        <v>61.376265977509256</v>
      </c>
      <c r="L8" s="335">
        <f t="shared" si="0"/>
        <v>61.376265977509256</v>
      </c>
    </row>
    <row r="9" spans="1:13" s="2" customFormat="1" ht="12.75" customHeight="1" x14ac:dyDescent="0.2">
      <c r="A9" s="280"/>
      <c r="B9" s="287" t="s">
        <v>103</v>
      </c>
      <c r="C9" s="287"/>
      <c r="E9" s="331">
        <f>'Balance Sheet'!I12</f>
        <v>4418</v>
      </c>
      <c r="F9" s="331">
        <f>'Balance Sheet'!J12</f>
        <v>4576</v>
      </c>
      <c r="G9" s="332">
        <f>G10/360*'Income Statement'!L19</f>
        <v>5291.4809073365177</v>
      </c>
      <c r="H9" s="332">
        <f>H10/360*'Income Statement'!M19</f>
        <v>8023.5315891043683</v>
      </c>
      <c r="I9" s="332">
        <f>I10/360*'Income Statement'!N19</f>
        <v>10029.414486380461</v>
      </c>
      <c r="J9" s="332">
        <f>J10/360*'Income Statement'!O19</f>
        <v>12536.768107975577</v>
      </c>
      <c r="K9" s="332">
        <f>K10/360*'Income Statement'!P19</f>
        <v>15670.960134969469</v>
      </c>
      <c r="L9" s="332">
        <f>L10/360*'Income Statement'!Q19</f>
        <v>19588.700168711839</v>
      </c>
    </row>
    <row r="10" spans="1:13" s="2" customFormat="1" ht="12.75" customHeight="1" x14ac:dyDescent="0.2">
      <c r="A10" s="280"/>
      <c r="B10" s="287"/>
      <c r="C10" s="333" t="s">
        <v>67</v>
      </c>
      <c r="E10" s="334"/>
      <c r="F10" s="334">
        <f>AVERAGE(E9:F9)/'Income Statement'!K19*360</f>
        <v>17.072352810908285</v>
      </c>
      <c r="G10" s="335">
        <f>F10</f>
        <v>17.072352810908285</v>
      </c>
      <c r="H10" s="335">
        <f t="shared" ref="H10:L11" si="1">G10</f>
        <v>17.072352810908285</v>
      </c>
      <c r="I10" s="335">
        <f t="shared" si="1"/>
        <v>17.072352810908285</v>
      </c>
      <c r="J10" s="335">
        <f t="shared" si="1"/>
        <v>17.072352810908285</v>
      </c>
      <c r="K10" s="335">
        <f t="shared" si="1"/>
        <v>17.072352810908285</v>
      </c>
      <c r="L10" s="335">
        <f t="shared" si="1"/>
        <v>17.072352810908285</v>
      </c>
    </row>
    <row r="11" spans="1:13" s="432" customFormat="1" ht="12.75" customHeight="1" x14ac:dyDescent="0.2">
      <c r="B11" s="432" t="s">
        <v>233</v>
      </c>
      <c r="D11" s="433"/>
      <c r="E11" s="434">
        <v>5581</v>
      </c>
      <c r="F11" s="434">
        <v>4912</v>
      </c>
      <c r="G11" s="439">
        <f>F11</f>
        <v>4912</v>
      </c>
      <c r="H11" s="439">
        <f t="shared" si="1"/>
        <v>4912</v>
      </c>
      <c r="I11" s="439">
        <f t="shared" si="1"/>
        <v>4912</v>
      </c>
      <c r="J11" s="439">
        <f t="shared" si="1"/>
        <v>4912</v>
      </c>
      <c r="K11" s="439">
        <f t="shared" si="1"/>
        <v>4912</v>
      </c>
      <c r="L11" s="439">
        <f t="shared" si="1"/>
        <v>4912</v>
      </c>
      <c r="M11" s="432" t="s">
        <v>343</v>
      </c>
    </row>
    <row r="12" spans="1:13" s="2" customFormat="1" ht="12.75" customHeight="1" x14ac:dyDescent="0.2">
      <c r="A12" s="280"/>
      <c r="B12" s="219"/>
      <c r="C12" s="222" t="s">
        <v>273</v>
      </c>
      <c r="D12" s="333"/>
      <c r="E12" s="334"/>
      <c r="F12" s="334"/>
      <c r="G12" s="335"/>
      <c r="H12" s="335"/>
      <c r="I12" s="335"/>
      <c r="J12" s="335"/>
      <c r="K12" s="335"/>
      <c r="L12" s="335"/>
    </row>
    <row r="13" spans="1:13" s="432" customFormat="1" ht="12.75" customHeight="1" x14ac:dyDescent="0.2">
      <c r="A13" s="431"/>
      <c r="B13" s="432" t="s">
        <v>235</v>
      </c>
      <c r="C13" s="433"/>
      <c r="E13" s="434">
        <f>'Balance Sheet'!I10</f>
        <v>5362</v>
      </c>
      <c r="F13" s="434">
        <f>'Balance Sheet'!J10</f>
        <v>7615</v>
      </c>
      <c r="G13" s="435">
        <f>G14/360*'Income Statement'!L41</f>
        <v>7770.7985426307778</v>
      </c>
      <c r="H13" s="435">
        <f>H14/360*'Income Statement'!M41</f>
        <v>11782.948605733118</v>
      </c>
      <c r="I13" s="435">
        <f>I14/360*'Income Statement'!N41</f>
        <v>14728.6857571664</v>
      </c>
      <c r="J13" s="435">
        <f>J14/360*'Income Statement'!O41</f>
        <v>17225.300668918604</v>
      </c>
      <c r="K13" s="435">
        <f>K14/360*'Income Statement'!P41</f>
        <v>21531.625836148261</v>
      </c>
      <c r="L13" s="435">
        <f>L14/360*'Income Statement'!Q41</f>
        <v>26914.532295185323</v>
      </c>
    </row>
    <row r="14" spans="1:13" s="2" customFormat="1" ht="13.5" customHeight="1" x14ac:dyDescent="0.2">
      <c r="A14" s="280"/>
      <c r="B14" s="287"/>
      <c r="C14" s="333" t="s">
        <v>274</v>
      </c>
      <c r="E14" s="334"/>
      <c r="F14" s="334">
        <f>AVERAGE(E13:F13)/'Income Statement'!K41*360</f>
        <v>183.36290132663473</v>
      </c>
      <c r="G14" s="335">
        <f>F14</f>
        <v>183.36290132663473</v>
      </c>
      <c r="H14" s="335">
        <f t="shared" ref="H14:L14" si="2">G14</f>
        <v>183.36290132663473</v>
      </c>
      <c r="I14" s="335">
        <f t="shared" si="2"/>
        <v>183.36290132663473</v>
      </c>
      <c r="J14" s="335">
        <f t="shared" si="2"/>
        <v>183.36290132663473</v>
      </c>
      <c r="K14" s="335">
        <f t="shared" si="2"/>
        <v>183.36290132663473</v>
      </c>
      <c r="L14" s="335">
        <f t="shared" si="2"/>
        <v>183.36290132663473</v>
      </c>
    </row>
    <row r="15" spans="1:13" s="2" customFormat="1" ht="12.75" customHeight="1" x14ac:dyDescent="0.2">
      <c r="A15" s="280"/>
      <c r="B15" s="336" t="s">
        <v>28</v>
      </c>
      <c r="C15" s="337"/>
      <c r="D15" s="383"/>
      <c r="E15" s="383">
        <f>E7+E9+E13+E11</f>
        <v>27378</v>
      </c>
      <c r="F15" s="383">
        <f t="shared" ref="F15:L15" si="3">F7+F9+F13+F11</f>
        <v>29495</v>
      </c>
      <c r="G15" s="383">
        <f t="shared" si="3"/>
        <v>32554.149198713087</v>
      </c>
      <c r="H15" s="383">
        <f t="shared" si="3"/>
        <v>46826.099506455168</v>
      </c>
      <c r="I15" s="383">
        <f t="shared" si="3"/>
        <v>57304.624383068964</v>
      </c>
      <c r="J15" s="383">
        <f t="shared" si="3"/>
        <v>69217.223951296808</v>
      </c>
      <c r="K15" s="383">
        <f t="shared" si="3"/>
        <v>85293.529939121014</v>
      </c>
      <c r="L15" s="383">
        <f t="shared" si="3"/>
        <v>105388.91242390126</v>
      </c>
    </row>
    <row r="16" spans="1:13" s="2" customFormat="1" ht="21" customHeight="1" x14ac:dyDescent="0.2">
      <c r="A16" s="280" t="s">
        <v>69</v>
      </c>
      <c r="B16" s="338"/>
      <c r="C16" s="338"/>
      <c r="D16" s="322"/>
      <c r="E16" s="322"/>
      <c r="F16" s="322"/>
      <c r="G16" s="322"/>
      <c r="H16" s="322"/>
      <c r="I16" s="322"/>
      <c r="J16" s="322"/>
      <c r="K16" s="322"/>
    </row>
    <row r="17" spans="1:12" s="2" customFormat="1" ht="12.75" customHeight="1" x14ac:dyDescent="0.2">
      <c r="A17" s="286"/>
      <c r="B17" s="323" t="s">
        <v>25</v>
      </c>
      <c r="C17" s="323"/>
      <c r="E17" s="327">
        <f>'Balance Sheet'!I26</f>
        <v>12474</v>
      </c>
      <c r="F17" s="327">
        <f>'Balance Sheet'!J26</f>
        <v>13371</v>
      </c>
      <c r="G17" s="332">
        <f>G18/360*'Income Statement'!L27</f>
        <v>15437.614554317464</v>
      </c>
      <c r="H17" s="332">
        <f>H18/360*'Income Statement'!M27</f>
        <v>23408.227338635705</v>
      </c>
      <c r="I17" s="332">
        <f>I18/360*'Income Statement'!N27</f>
        <v>29260.284173294633</v>
      </c>
      <c r="J17" s="332">
        <f>J18/360*'Income Statement'!O27</f>
        <v>36575.355216618293</v>
      </c>
      <c r="K17" s="332">
        <f>K18/360*'Income Statement'!P27</f>
        <v>45719.194020772862</v>
      </c>
      <c r="L17" s="332">
        <f>L18/360*'Income Statement'!Q27</f>
        <v>57148.992525966081</v>
      </c>
    </row>
    <row r="18" spans="1:12" s="2" customFormat="1" ht="12.75" customHeight="1" x14ac:dyDescent="0.2">
      <c r="A18" s="280"/>
      <c r="B18" s="287"/>
      <c r="C18" s="333" t="s">
        <v>70</v>
      </c>
      <c r="E18" s="334"/>
      <c r="F18" s="334">
        <f>AVERAGE(E17:F17)/'Income Statement'!K27*360</f>
        <v>64.987078298526228</v>
      </c>
      <c r="G18" s="335">
        <f>F18</f>
        <v>64.987078298526228</v>
      </c>
      <c r="H18" s="335">
        <f t="shared" ref="H18:L18" si="4">G18</f>
        <v>64.987078298526228</v>
      </c>
      <c r="I18" s="335">
        <f t="shared" si="4"/>
        <v>64.987078298526228</v>
      </c>
      <c r="J18" s="335">
        <f t="shared" si="4"/>
        <v>64.987078298526228</v>
      </c>
      <c r="K18" s="335">
        <f t="shared" si="4"/>
        <v>64.987078298526228</v>
      </c>
      <c r="L18" s="335">
        <f t="shared" si="4"/>
        <v>64.987078298526228</v>
      </c>
    </row>
    <row r="19" spans="1:12" s="432" customFormat="1" ht="12.75" customHeight="1" x14ac:dyDescent="0.2">
      <c r="A19" s="431"/>
      <c r="B19" s="432" t="s">
        <v>264</v>
      </c>
      <c r="C19" s="436"/>
      <c r="E19" s="437">
        <f>'Balance Sheet'!I27-993</f>
        <v>9730</v>
      </c>
      <c r="F19" s="437">
        <f>'Balance Sheet'!J27-1311</f>
        <v>11968</v>
      </c>
      <c r="G19" s="435">
        <f>G20/360*'Income Statement'!G27</f>
        <v>31771.158960671954</v>
      </c>
      <c r="H19" s="435">
        <f>H20/360*'Income Statement'!H27</f>
        <v>48425.766386686555</v>
      </c>
      <c r="I19" s="435">
        <f>I20/360*'Income Statement'!I27</f>
        <v>63400.946228118381</v>
      </c>
      <c r="J19" s="435">
        <f>J20/360*'Income Statement'!J27</f>
        <v>63763.743464950159</v>
      </c>
      <c r="K19" s="435">
        <f>K20/360*'Income Statement'!K27</f>
        <v>60964.413611743468</v>
      </c>
      <c r="L19" s="435">
        <f>L20/360*'Income Statement'!L27</f>
        <v>72829.956964061188</v>
      </c>
    </row>
    <row r="20" spans="1:12" s="432" customFormat="1" ht="12.75" customHeight="1" x14ac:dyDescent="0.2">
      <c r="A20" s="431"/>
      <c r="C20" s="433" t="s">
        <v>275</v>
      </c>
      <c r="E20" s="438"/>
      <c r="F20" s="438">
        <f>AVERAGE(E19:F19)/'Income Statement'!K41*360</f>
        <v>306.58921422403643</v>
      </c>
      <c r="G20" s="439">
        <f>F20</f>
        <v>306.58921422403643</v>
      </c>
      <c r="H20" s="439">
        <f t="shared" ref="H20:L20" si="5">G20</f>
        <v>306.58921422403643</v>
      </c>
      <c r="I20" s="439">
        <f t="shared" si="5"/>
        <v>306.58921422403643</v>
      </c>
      <c r="J20" s="439">
        <f t="shared" si="5"/>
        <v>306.58921422403643</v>
      </c>
      <c r="K20" s="439">
        <f t="shared" si="5"/>
        <v>306.58921422403643</v>
      </c>
      <c r="L20" s="439">
        <f t="shared" si="5"/>
        <v>306.58921422403643</v>
      </c>
    </row>
    <row r="21" spans="1:12" s="2" customFormat="1" ht="12.75" customHeight="1" x14ac:dyDescent="0.2">
      <c r="A21" s="280"/>
      <c r="B21" s="287" t="s">
        <v>234</v>
      </c>
      <c r="C21" s="337"/>
      <c r="E21" s="327">
        <f>'Balance Sheet'!I29</f>
        <v>3168</v>
      </c>
      <c r="F21" s="327">
        <f>'Balance Sheet'!J29</f>
        <v>3424</v>
      </c>
      <c r="G21" s="332">
        <f>G22/360*'Income Statement'!G19</f>
        <v>1870.7816128317886</v>
      </c>
      <c r="H21" s="332">
        <f>H22/360*'Income Statement'!H19</f>
        <v>2831.4588882913094</v>
      </c>
      <c r="I21" s="332">
        <f>I22/360*'Income Statement'!I19</f>
        <v>3363.6391323146363</v>
      </c>
      <c r="J21" s="332">
        <f>J22/360*'Income Statement'!J19</f>
        <v>3395.5122486211735</v>
      </c>
      <c r="K21" s="332">
        <f>K22/360*'Income Statement'!K19</f>
        <v>3296</v>
      </c>
      <c r="L21" s="332">
        <f>L22/360*'Income Statement'!L19</f>
        <v>3878.3013276809347</v>
      </c>
    </row>
    <row r="22" spans="1:12" s="2" customFormat="1" ht="12.75" customHeight="1" x14ac:dyDescent="0.2">
      <c r="A22" s="280"/>
      <c r="B22" s="287"/>
      <c r="C22" s="333" t="s">
        <v>276</v>
      </c>
      <c r="E22" s="334"/>
      <c r="F22" s="334">
        <f>AVERAGE(E21:F21)/'Income Statement'!K19*360</f>
        <v>12.512891897877187</v>
      </c>
      <c r="G22" s="335">
        <f>F22</f>
        <v>12.512891897877187</v>
      </c>
      <c r="H22" s="335">
        <f t="shared" ref="H22:L22" si="6">G22</f>
        <v>12.512891897877187</v>
      </c>
      <c r="I22" s="335">
        <f t="shared" si="6"/>
        <v>12.512891897877187</v>
      </c>
      <c r="J22" s="335">
        <f t="shared" si="6"/>
        <v>12.512891897877187</v>
      </c>
      <c r="K22" s="335">
        <f t="shared" si="6"/>
        <v>12.512891897877187</v>
      </c>
      <c r="L22" s="335">
        <f t="shared" si="6"/>
        <v>12.512891897877187</v>
      </c>
    </row>
    <row r="23" spans="1:12" s="2" customFormat="1" ht="12.75" customHeight="1" x14ac:dyDescent="0.2">
      <c r="A23" s="280"/>
      <c r="B23" s="287" t="s">
        <v>238</v>
      </c>
      <c r="C23" s="333"/>
      <c r="E23" s="327">
        <f>'Balance Sheet'!I31</f>
        <v>0</v>
      </c>
      <c r="F23" s="327">
        <f>'Balance Sheet'!J31</f>
        <v>0</v>
      </c>
      <c r="G23" s="332">
        <f>G24/360*'Income Statement'!G19</f>
        <v>0</v>
      </c>
      <c r="H23" s="332">
        <f>H24/360*'Income Statement'!H19</f>
        <v>0</v>
      </c>
      <c r="I23" s="332">
        <f>I24/360*'Income Statement'!I19</f>
        <v>0</v>
      </c>
      <c r="J23" s="332">
        <f>J24/360*'Income Statement'!J19</f>
        <v>0</v>
      </c>
      <c r="K23" s="332">
        <f>K24/360*'Income Statement'!K19</f>
        <v>0</v>
      </c>
      <c r="L23" s="332">
        <f>L24/360*'Income Statement'!L19</f>
        <v>0</v>
      </c>
    </row>
    <row r="24" spans="1:12" s="2" customFormat="1" ht="12.75" customHeight="1" x14ac:dyDescent="0.2">
      <c r="A24" s="280"/>
      <c r="B24" s="287"/>
      <c r="C24" s="333" t="s">
        <v>277</v>
      </c>
      <c r="E24" s="334"/>
      <c r="F24" s="334">
        <f>AVERAGE(E23:F23)/'Income Statement'!F19*360</f>
        <v>0</v>
      </c>
      <c r="G24" s="335">
        <f>F24</f>
        <v>0</v>
      </c>
      <c r="H24" s="335">
        <f t="shared" ref="H24:L24" si="7">G24</f>
        <v>0</v>
      </c>
      <c r="I24" s="335">
        <f t="shared" si="7"/>
        <v>0</v>
      </c>
      <c r="J24" s="335">
        <f t="shared" si="7"/>
        <v>0</v>
      </c>
      <c r="K24" s="335">
        <f t="shared" si="7"/>
        <v>0</v>
      </c>
      <c r="L24" s="335">
        <f t="shared" si="7"/>
        <v>0</v>
      </c>
    </row>
    <row r="25" spans="1:12" s="2" customFormat="1" ht="12.75" customHeight="1" x14ac:dyDescent="0.2">
      <c r="A25" s="287"/>
      <c r="B25" s="336" t="s">
        <v>29</v>
      </c>
      <c r="C25" s="323"/>
      <c r="D25" s="339"/>
      <c r="E25" s="339">
        <f>E17+E19+E21+E23</f>
        <v>25372</v>
      </c>
      <c r="F25" s="339">
        <f t="shared" ref="F25:L25" si="8">F17+F19+F21+F23</f>
        <v>28763</v>
      </c>
      <c r="G25" s="339">
        <f t="shared" si="8"/>
        <v>49079.555127821201</v>
      </c>
      <c r="H25" s="339">
        <f t="shared" si="8"/>
        <v>74665.452613613568</v>
      </c>
      <c r="I25" s="339">
        <f t="shared" si="8"/>
        <v>96024.869533727659</v>
      </c>
      <c r="J25" s="339">
        <f t="shared" si="8"/>
        <v>103734.61093018964</v>
      </c>
      <c r="K25" s="339">
        <f t="shared" si="8"/>
        <v>109979.60763251633</v>
      </c>
      <c r="L25" s="339">
        <f t="shared" si="8"/>
        <v>133857.25081770821</v>
      </c>
    </row>
    <row r="26" spans="1:12" s="2" customFormat="1" ht="21" customHeight="1" x14ac:dyDescent="0.2">
      <c r="A26" s="287"/>
      <c r="B26" s="286" t="s">
        <v>80</v>
      </c>
      <c r="C26" s="340"/>
      <c r="D26" s="300"/>
      <c r="E26" s="300">
        <f t="shared" ref="E26:L26" si="9">E15-E25</f>
        <v>2006</v>
      </c>
      <c r="F26" s="300">
        <f t="shared" si="9"/>
        <v>732</v>
      </c>
      <c r="G26" s="300">
        <f t="shared" si="9"/>
        <v>-16525.405929108114</v>
      </c>
      <c r="H26" s="300">
        <f t="shared" si="9"/>
        <v>-27839.3531071584</v>
      </c>
      <c r="I26" s="300">
        <f t="shared" si="9"/>
        <v>-38720.245150658695</v>
      </c>
      <c r="J26" s="300">
        <f t="shared" si="9"/>
        <v>-34517.386978892828</v>
      </c>
      <c r="K26" s="300">
        <f t="shared" si="9"/>
        <v>-24686.077693395317</v>
      </c>
      <c r="L26" s="300">
        <f t="shared" si="9"/>
        <v>-28468.338393806946</v>
      </c>
    </row>
    <row r="27" spans="1:12" s="29" customFormat="1" ht="12.75" customHeight="1" x14ac:dyDescent="0.2">
      <c r="A27" s="297"/>
      <c r="B27" s="297" t="s">
        <v>81</v>
      </c>
      <c r="C27" s="341"/>
      <c r="D27" s="309"/>
      <c r="E27" s="309"/>
      <c r="F27" s="309">
        <f>F26-E26</f>
        <v>-1274</v>
      </c>
      <c r="G27" s="309">
        <f t="shared" ref="G27:L27" si="10">G26-F26</f>
        <v>-17257.405929108114</v>
      </c>
      <c r="H27" s="309">
        <f t="shared" si="10"/>
        <v>-11313.947178050286</v>
      </c>
      <c r="I27" s="309">
        <f t="shared" si="10"/>
        <v>-10880.892043500295</v>
      </c>
      <c r="J27" s="309">
        <f t="shared" si="10"/>
        <v>4202.8581717658672</v>
      </c>
      <c r="K27" s="309">
        <f t="shared" si="10"/>
        <v>9831.3092854975112</v>
      </c>
      <c r="L27" s="309">
        <f t="shared" si="10"/>
        <v>-3782.2607004116289</v>
      </c>
    </row>
    <row r="28" spans="1:12" ht="12.75" customHeight="1" x14ac:dyDescent="0.2">
      <c r="A28" s="299"/>
      <c r="B28" s="313" t="s">
        <v>12</v>
      </c>
      <c r="C28" s="299"/>
      <c r="D28" s="314"/>
      <c r="E28" s="314"/>
      <c r="F28" s="314"/>
      <c r="G28" s="314" t="str">
        <f>IF(ROUND(-G27-'Cash Flow Statement'!L30,1)=0,"Y","N")</f>
        <v>Y</v>
      </c>
      <c r="H28" s="314" t="str">
        <f>IF(ROUND(-H27-'Cash Flow Statement'!M30,1)=0,"Y","N")</f>
        <v>Y</v>
      </c>
      <c r="I28" s="314" t="str">
        <f>IF(ROUND(-I27-'Cash Flow Statement'!N30,1)=0,"Y","N")</f>
        <v>Y</v>
      </c>
      <c r="J28" s="314" t="str">
        <f>IF(ROUND(-J27-'Cash Flow Statement'!O30,1)=0,"Y","N")</f>
        <v>Y</v>
      </c>
      <c r="K28" s="314" t="str">
        <f>IF(ROUND(-K27-'Cash Flow Statement'!P30,1)=0,"Y","N")</f>
        <v>Y</v>
      </c>
      <c r="L28" s="314" t="str">
        <f>IF(ROUND(-L27-'Cash Flow Statement'!Q30,1)=0,"Y","N")</f>
        <v>Y</v>
      </c>
    </row>
    <row r="29" spans="1:12" s="2" customFormat="1" ht="12" x14ac:dyDescent="0.2">
      <c r="A29" s="1"/>
      <c r="B29" s="12"/>
      <c r="C29" s="12"/>
      <c r="D29" s="19"/>
      <c r="E29" s="19"/>
      <c r="F29" s="19"/>
      <c r="G29" s="19"/>
      <c r="H29" s="19"/>
      <c r="I29" s="19"/>
      <c r="J29" s="19"/>
      <c r="K29" s="19"/>
    </row>
    <row r="30" spans="1:12" s="2" customFormat="1" ht="12" x14ac:dyDescent="0.2">
      <c r="A30" s="1"/>
      <c r="B30" s="12"/>
      <c r="C30" s="12"/>
      <c r="D30" s="18"/>
      <c r="E30" s="19"/>
      <c r="F30" s="19"/>
      <c r="G30" s="19"/>
      <c r="H30" s="19"/>
      <c r="I30" s="19"/>
      <c r="J30" s="19"/>
      <c r="K30" s="19"/>
    </row>
    <row r="31" spans="1:12" s="2" customFormat="1" ht="12" x14ac:dyDescent="0.2">
      <c r="A31" s="1"/>
      <c r="B31" s="12"/>
      <c r="C31" s="12"/>
      <c r="D31" s="19"/>
      <c r="E31" s="19"/>
      <c r="F31" s="19"/>
      <c r="G31" s="19"/>
      <c r="H31" s="19"/>
      <c r="I31" s="19"/>
      <c r="J31" s="19"/>
      <c r="K31" s="19"/>
    </row>
    <row r="32" spans="1:12" s="2" customFormat="1" ht="12" x14ac:dyDescent="0.2">
      <c r="A32" s="1"/>
      <c r="B32" s="12"/>
      <c r="C32" s="12"/>
      <c r="D32" s="16"/>
      <c r="E32" s="16"/>
      <c r="F32" s="16"/>
      <c r="G32" s="16"/>
      <c r="H32" s="16"/>
      <c r="I32" s="16"/>
      <c r="J32" s="16"/>
      <c r="K32" s="16"/>
    </row>
    <row r="33" spans="1:11" s="2" customFormat="1" ht="12" x14ac:dyDescent="0.2">
      <c r="A33" s="1"/>
      <c r="B33" s="1"/>
      <c r="C33" s="1"/>
      <c r="D33" s="7"/>
      <c r="E33" s="7"/>
      <c r="F33" s="7"/>
      <c r="G33" s="7"/>
      <c r="H33" s="7"/>
      <c r="I33" s="7"/>
      <c r="J33" s="7"/>
      <c r="K33" s="7"/>
    </row>
    <row r="34" spans="1:11" s="2" customFormat="1" ht="21" customHeight="1" x14ac:dyDescent="0.2">
      <c r="B34" s="13"/>
      <c r="C34" s="13"/>
      <c r="D34" s="14"/>
      <c r="E34" s="14"/>
      <c r="F34" s="14"/>
      <c r="G34" s="15"/>
      <c r="H34" s="15"/>
      <c r="I34" s="15"/>
      <c r="J34" s="15"/>
      <c r="K34" s="15"/>
    </row>
    <row r="35" spans="1:11" s="2" customFormat="1" ht="12" x14ac:dyDescent="0.2">
      <c r="A35" s="1"/>
      <c r="B35" s="13"/>
      <c r="C35" s="13"/>
      <c r="D35" s="21"/>
      <c r="E35" s="21"/>
      <c r="F35" s="21"/>
      <c r="G35" s="21"/>
      <c r="H35" s="21"/>
      <c r="I35" s="21"/>
      <c r="J35" s="21"/>
      <c r="K35" s="21"/>
    </row>
    <row r="36" spans="1:11" s="2" customFormat="1" ht="12" x14ac:dyDescent="0.2">
      <c r="A36" s="1"/>
      <c r="B36" s="26"/>
      <c r="C36" s="26"/>
      <c r="D36" s="27"/>
      <c r="E36" s="27"/>
      <c r="F36" s="27"/>
      <c r="G36" s="27"/>
      <c r="H36" s="27"/>
      <c r="I36" s="27"/>
      <c r="J36" s="27"/>
      <c r="K36" s="27"/>
    </row>
    <row r="37" spans="1:11" s="2" customFormat="1" ht="12" x14ac:dyDescent="0.2">
      <c r="B37" s="12"/>
      <c r="C37" s="12"/>
      <c r="D37" s="17"/>
      <c r="E37" s="17"/>
      <c r="F37" s="17"/>
      <c r="G37" s="17"/>
      <c r="H37" s="17"/>
      <c r="I37" s="17"/>
      <c r="J37" s="17"/>
      <c r="K37" s="17"/>
    </row>
    <row r="38" spans="1:11" s="2" customFormat="1" ht="12" x14ac:dyDescent="0.2">
      <c r="A38" s="1"/>
      <c r="B38" s="12"/>
      <c r="C38" s="12"/>
      <c r="D38" s="18"/>
      <c r="E38" s="19"/>
      <c r="F38" s="19"/>
      <c r="G38" s="19"/>
      <c r="H38" s="19"/>
      <c r="I38" s="19"/>
      <c r="J38" s="19"/>
      <c r="K38" s="19"/>
    </row>
    <row r="39" spans="1:11" s="2" customFormat="1" ht="12" x14ac:dyDescent="0.2">
      <c r="A39" s="1"/>
      <c r="B39" s="12"/>
      <c r="C39" s="12"/>
      <c r="D39" s="18"/>
      <c r="E39" s="19"/>
      <c r="F39" s="19"/>
      <c r="G39" s="19"/>
      <c r="H39" s="19"/>
      <c r="I39" s="19"/>
      <c r="J39" s="19"/>
      <c r="K39" s="19"/>
    </row>
    <row r="40" spans="1:11" s="2" customFormat="1" ht="12" x14ac:dyDescent="0.2">
      <c r="B40" s="12"/>
      <c r="C40" s="12"/>
      <c r="D40" s="18"/>
      <c r="E40" s="19"/>
      <c r="F40" s="19"/>
      <c r="G40" s="19"/>
      <c r="H40" s="19"/>
      <c r="I40" s="19"/>
      <c r="J40" s="19"/>
      <c r="K40" s="19"/>
    </row>
    <row r="41" spans="1:11" s="2" customFormat="1" ht="12" x14ac:dyDescent="0.2">
      <c r="B41" s="12"/>
      <c r="C41" s="12"/>
      <c r="D41" s="18"/>
      <c r="E41" s="19"/>
      <c r="F41" s="19"/>
      <c r="G41" s="19"/>
      <c r="H41" s="19"/>
      <c r="I41" s="19"/>
      <c r="J41" s="19"/>
      <c r="K41" s="19"/>
    </row>
    <row r="42" spans="1:11" s="2" customFormat="1" ht="12" x14ac:dyDescent="0.2">
      <c r="B42" s="12"/>
      <c r="C42" s="12"/>
      <c r="D42" s="20"/>
      <c r="E42" s="20"/>
      <c r="F42" s="20"/>
      <c r="G42" s="20"/>
      <c r="H42" s="20"/>
      <c r="I42" s="19"/>
      <c r="J42" s="19"/>
      <c r="K42" s="19"/>
    </row>
    <row r="43" spans="1:11" s="2" customFormat="1" ht="12" x14ac:dyDescent="0.2">
      <c r="A43" s="1"/>
      <c r="B43" s="12"/>
      <c r="C43" s="12"/>
      <c r="D43" s="19"/>
      <c r="E43" s="19"/>
      <c r="F43" s="19"/>
      <c r="G43" s="19"/>
      <c r="H43" s="19"/>
      <c r="I43" s="19"/>
      <c r="J43" s="19"/>
      <c r="K43" s="19"/>
    </row>
    <row r="44" spans="1:11" s="2" customFormat="1" ht="12" x14ac:dyDescent="0.2">
      <c r="B44" s="12"/>
      <c r="C44" s="12"/>
      <c r="D44" s="18"/>
      <c r="E44" s="19"/>
      <c r="F44" s="19"/>
      <c r="G44" s="19"/>
      <c r="H44" s="19"/>
      <c r="I44" s="19"/>
      <c r="J44" s="19"/>
      <c r="K44" s="19"/>
    </row>
    <row r="45" spans="1:11" s="2" customFormat="1" ht="12" x14ac:dyDescent="0.2">
      <c r="B45" s="12"/>
      <c r="C45" s="12"/>
      <c r="D45" s="19"/>
      <c r="E45" s="19"/>
      <c r="F45" s="19"/>
      <c r="G45" s="19"/>
      <c r="H45" s="19"/>
      <c r="I45" s="19"/>
      <c r="J45" s="19"/>
      <c r="K45" s="19"/>
    </row>
    <row r="46" spans="1:11" s="2" customFormat="1" ht="12" x14ac:dyDescent="0.2">
      <c r="B46" s="12"/>
      <c r="C46" s="12"/>
      <c r="D46" s="16"/>
      <c r="E46" s="16"/>
      <c r="F46" s="16"/>
      <c r="G46" s="16"/>
      <c r="H46" s="16"/>
      <c r="I46" s="16"/>
      <c r="J46" s="16"/>
      <c r="K46" s="16"/>
    </row>
    <row r="47" spans="1:11" s="2" customFormat="1" ht="12" x14ac:dyDescent="0.2">
      <c r="A47" s="1"/>
      <c r="B47" s="1"/>
      <c r="C47" s="1"/>
      <c r="D47" s="7"/>
      <c r="E47" s="7"/>
      <c r="F47" s="7"/>
      <c r="G47" s="7"/>
      <c r="H47" s="7"/>
      <c r="I47" s="7"/>
      <c r="J47" s="7"/>
      <c r="K47" s="7"/>
    </row>
    <row r="48" spans="1:11" s="2" customFormat="1" ht="21" customHeight="1" x14ac:dyDescent="0.2">
      <c r="A48" s="1"/>
      <c r="D48" s="25"/>
      <c r="E48" s="25"/>
      <c r="F48" s="25"/>
      <c r="G48" s="25"/>
      <c r="H48" s="25"/>
      <c r="I48" s="25"/>
      <c r="J48" s="25"/>
      <c r="K48" s="25"/>
    </row>
    <row r="49" spans="1:11" s="10" customFormat="1" ht="12" x14ac:dyDescent="0.2">
      <c r="B49" s="24"/>
      <c r="C49" s="24"/>
      <c r="D49" s="23"/>
      <c r="E49" s="23"/>
      <c r="F49" s="23"/>
      <c r="G49" s="23"/>
      <c r="H49" s="23"/>
      <c r="I49" s="23"/>
      <c r="J49" s="23"/>
      <c r="K49" s="23"/>
    </row>
    <row r="50" spans="1:11" s="10" customFormat="1" ht="12" x14ac:dyDescent="0.2">
      <c r="B50" s="22"/>
      <c r="C50" s="22"/>
      <c r="D50" s="28"/>
      <c r="E50" s="28"/>
      <c r="F50" s="28"/>
      <c r="G50" s="28"/>
      <c r="H50" s="28"/>
      <c r="I50" s="28"/>
      <c r="J50" s="28"/>
      <c r="K50" s="28"/>
    </row>
    <row r="51" spans="1:11" s="10" customFormat="1" ht="12" x14ac:dyDescent="0.2">
      <c r="D51" s="11"/>
      <c r="E51" s="11"/>
      <c r="F51" s="11"/>
      <c r="G51" s="11"/>
      <c r="H51" s="11"/>
      <c r="I51" s="11"/>
      <c r="J51" s="11"/>
      <c r="K51" s="11"/>
    </row>
    <row r="52" spans="1:11" s="10" customFormat="1" ht="12" x14ac:dyDescent="0.2">
      <c r="D52" s="11"/>
      <c r="E52" s="11"/>
      <c r="F52" s="11"/>
      <c r="G52" s="11"/>
      <c r="H52" s="11"/>
      <c r="I52" s="11"/>
      <c r="J52" s="11"/>
      <c r="K52" s="11"/>
    </row>
    <row r="53" spans="1:11" s="2" customFormat="1" ht="20.100000000000001" customHeight="1" x14ac:dyDescent="0.2">
      <c r="A53" s="1"/>
      <c r="B53" s="1"/>
      <c r="C53" s="1"/>
      <c r="D53" s="7"/>
      <c r="E53" s="7"/>
      <c r="F53" s="7"/>
      <c r="G53" s="7"/>
      <c r="H53" s="7"/>
      <c r="I53" s="7"/>
      <c r="J53" s="7"/>
      <c r="K53" s="7"/>
    </row>
    <row r="54" spans="1:11" s="2" customFormat="1" ht="21" customHeight="1" x14ac:dyDescent="0.2">
      <c r="A54" s="1"/>
      <c r="B54" s="1"/>
      <c r="C54" s="1"/>
      <c r="D54" s="7"/>
      <c r="E54" s="7"/>
      <c r="F54" s="7"/>
      <c r="G54" s="7"/>
      <c r="H54" s="7"/>
      <c r="I54" s="7"/>
      <c r="J54" s="7"/>
      <c r="K54" s="7"/>
    </row>
    <row r="55" spans="1:11" ht="21" customHeight="1" x14ac:dyDescent="0.2">
      <c r="A55" s="1"/>
      <c r="D55" s="8"/>
      <c r="E55" s="8"/>
      <c r="F55" s="8"/>
      <c r="G55" s="8"/>
      <c r="H55" s="8"/>
      <c r="I55" s="8"/>
      <c r="J55" s="8"/>
      <c r="K55" s="8"/>
    </row>
    <row r="56" spans="1:11" ht="20.100000000000001" customHeight="1" x14ac:dyDescent="0.2">
      <c r="D56" s="9"/>
      <c r="E56" s="9"/>
      <c r="F56" s="9"/>
      <c r="G56" s="9"/>
      <c r="H56" s="9"/>
      <c r="I56" s="9"/>
      <c r="J56" s="9"/>
      <c r="K56" s="9"/>
    </row>
    <row r="57" spans="1:11" ht="20.100000000000001" customHeight="1" x14ac:dyDescent="0.2">
      <c r="F57" s="3"/>
      <c r="G57" s="3"/>
      <c r="H57" s="3"/>
      <c r="I57" s="3"/>
      <c r="J57" s="3"/>
      <c r="K57" s="3"/>
    </row>
    <row r="58" spans="1:11" ht="20.100000000000001" customHeight="1" x14ac:dyDescent="0.2">
      <c r="F58" s="3"/>
      <c r="G58" s="3"/>
      <c r="H58" s="3"/>
      <c r="I58" s="3"/>
      <c r="J58" s="3"/>
      <c r="K58" s="3"/>
    </row>
  </sheetData>
  <phoneticPr fontId="1" type="noConversion"/>
  <pageMargins left="0.75" right="0.75" top="1" bottom="1" header="0.5" footer="0.5"/>
  <pageSetup scale="83" orientation="landscape" r:id="rId1"/>
  <headerFooter alignWithMargins="0">
    <oddFooter>&amp;LThe Analyst Exchange&amp;8
On - Line Training
www.theanalystexchange.com
&amp;R&amp;F, &amp;A
&amp;P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1"/>
  <sheetViews>
    <sheetView zoomScaleNormal="100" workbookViewId="0">
      <pane xSplit="3" ySplit="5" topLeftCell="D33" activePane="bottomRight" state="frozen"/>
      <selection activeCell="C3" sqref="C3"/>
      <selection pane="topRight" activeCell="C3" sqref="C3"/>
      <selection pane="bottomLeft" activeCell="C3" sqref="C3"/>
      <selection pane="bottomRight" activeCell="F26" sqref="F26"/>
    </sheetView>
  </sheetViews>
  <sheetFormatPr defaultRowHeight="20.100000000000001" customHeight="1" x14ac:dyDescent="0.2"/>
  <cols>
    <col min="1" max="2" width="2.7109375" style="2" customWidth="1"/>
    <col min="3" max="3" width="54.7109375" style="2" customWidth="1"/>
    <col min="4" max="5" width="9.7109375" style="3" customWidth="1"/>
    <col min="6" max="6" width="9.7109375" style="49" customWidth="1"/>
    <col min="7" max="7" width="9.7109375" style="2" customWidth="1"/>
    <col min="8" max="11" width="9.7109375" style="49" customWidth="1"/>
    <col min="12" max="16384" width="9.140625" style="49"/>
  </cols>
  <sheetData>
    <row r="1" spans="1:12" ht="29.65" customHeight="1" x14ac:dyDescent="0.2">
      <c r="A1" s="32"/>
      <c r="B1" s="32"/>
      <c r="C1" s="32"/>
      <c r="D1" s="33"/>
      <c r="E1" s="33"/>
      <c r="F1" s="51"/>
      <c r="G1" s="32"/>
      <c r="H1" s="51"/>
      <c r="I1" s="51"/>
      <c r="J1" s="51"/>
      <c r="K1" s="51"/>
    </row>
    <row r="2" spans="1:12" ht="12.75" customHeight="1" x14ac:dyDescent="0.2">
      <c r="A2" s="30" t="s">
        <v>10</v>
      </c>
      <c r="B2" s="30"/>
      <c r="C2" s="30"/>
      <c r="D2" s="31"/>
      <c r="E2" s="31"/>
      <c r="F2" s="34"/>
      <c r="G2" s="30"/>
      <c r="H2" s="34"/>
      <c r="I2" s="34"/>
      <c r="J2" s="34"/>
      <c r="K2" s="34"/>
      <c r="L2" s="34"/>
    </row>
    <row r="3" spans="1:12" ht="12.75" customHeight="1" x14ac:dyDescent="0.2">
      <c r="A3" s="4" t="str">
        <f>'Operating Working Capital'!A3</f>
        <v>(in US$ millions except per share amounts)</v>
      </c>
      <c r="B3" s="5"/>
      <c r="C3" s="5"/>
      <c r="D3" s="41" t="s">
        <v>31</v>
      </c>
      <c r="E3" s="41"/>
      <c r="F3" s="43"/>
      <c r="G3" s="44" t="s">
        <v>32</v>
      </c>
      <c r="H3" s="45"/>
      <c r="I3" s="46"/>
      <c r="J3" s="45"/>
      <c r="K3" s="45"/>
      <c r="L3" s="45"/>
    </row>
    <row r="4" spans="1:12" ht="12.75" customHeight="1" x14ac:dyDescent="0.2">
      <c r="A4" s="4"/>
      <c r="B4" s="5"/>
      <c r="C4" s="5"/>
      <c r="D4" s="36"/>
      <c r="E4" s="36"/>
      <c r="F4" s="35"/>
      <c r="G4" s="35"/>
      <c r="H4" s="35"/>
      <c r="I4" s="35"/>
      <c r="J4" s="35"/>
      <c r="K4" s="35"/>
      <c r="L4" s="35"/>
    </row>
    <row r="5" spans="1:12" ht="12.75" customHeight="1" x14ac:dyDescent="0.2">
      <c r="A5" s="37" t="s">
        <v>17</v>
      </c>
      <c r="B5" s="38"/>
      <c r="C5" s="38"/>
      <c r="D5" s="47">
        <f>'Income Statement'!I5</f>
        <v>2023</v>
      </c>
      <c r="E5" s="47">
        <f>'Income Statement'!J5</f>
        <v>2024</v>
      </c>
      <c r="F5" s="47">
        <f>'Income Statement'!K5</f>
        <v>2025</v>
      </c>
      <c r="G5" s="47">
        <f>'Income Statement'!L5</f>
        <v>2026</v>
      </c>
      <c r="H5" s="47">
        <f>'Income Statement'!M5</f>
        <v>2027</v>
      </c>
      <c r="I5" s="47">
        <f>'Income Statement'!N5</f>
        <v>2028</v>
      </c>
      <c r="J5" s="47">
        <f>'Income Statement'!O5</f>
        <v>2029</v>
      </c>
      <c r="K5" s="47">
        <f>'Income Statement'!P5</f>
        <v>2030</v>
      </c>
      <c r="L5" s="47">
        <f>'Income Statement'!Q5</f>
        <v>2031</v>
      </c>
    </row>
    <row r="6" spans="1:12" s="52" customFormat="1" ht="21" customHeight="1" x14ac:dyDescent="0.2">
      <c r="A6" s="280" t="s">
        <v>82</v>
      </c>
      <c r="B6" s="282"/>
      <c r="C6" s="282"/>
      <c r="D6" s="342"/>
      <c r="E6" s="342"/>
      <c r="F6" s="342"/>
      <c r="G6" s="343"/>
      <c r="H6" s="343"/>
      <c r="I6" s="343"/>
      <c r="J6" s="343"/>
      <c r="K6" s="343"/>
    </row>
    <row r="7" spans="1:12" s="2" customFormat="1" ht="12.75" customHeight="1" x14ac:dyDescent="0.2">
      <c r="A7" s="287"/>
      <c r="B7" s="287" t="s">
        <v>71</v>
      </c>
      <c r="C7" s="287"/>
      <c r="D7" s="287"/>
      <c r="E7" s="301"/>
      <c r="F7" s="301"/>
      <c r="G7" s="301">
        <f>F49</f>
        <v>16513</v>
      </c>
      <c r="H7" s="301">
        <f t="shared" ref="H7:L7" ca="1" si="0">G49</f>
        <v>13579.920677242684</v>
      </c>
      <c r="I7" s="301">
        <f t="shared" ca="1" si="0"/>
        <v>16462.705456278563</v>
      </c>
      <c r="J7" s="301">
        <f t="shared" ca="1" si="0"/>
        <v>27988.470722687314</v>
      </c>
      <c r="K7" s="301">
        <f t="shared" ca="1" si="0"/>
        <v>31442.631889105418</v>
      </c>
      <c r="L7" s="301">
        <f t="shared" ca="1" si="0"/>
        <v>39273.976526615596</v>
      </c>
    </row>
    <row r="8" spans="1:12" s="2" customFormat="1" ht="12.75" customHeight="1" x14ac:dyDescent="0.2">
      <c r="A8" s="287"/>
      <c r="B8" s="287" t="s">
        <v>56</v>
      </c>
      <c r="C8" s="287"/>
      <c r="D8" s="297"/>
      <c r="E8" s="301"/>
      <c r="F8" s="301"/>
      <c r="G8" s="301">
        <f ca="1">'Cash Flow Statement'!L65</f>
        <v>-2933.0793227573158</v>
      </c>
      <c r="H8" s="301">
        <f ca="1">'Cash Flow Statement'!M65</f>
        <v>2882.7847790358792</v>
      </c>
      <c r="I8" s="301">
        <f ca="1">'Cash Flow Statement'!N65</f>
        <v>11525.765266408751</v>
      </c>
      <c r="J8" s="301">
        <f ca="1">'Cash Flow Statement'!O65</f>
        <v>3454.1611664181037</v>
      </c>
      <c r="K8" s="301">
        <f ca="1">'Cash Flow Statement'!P65</f>
        <v>7831.3446375101776</v>
      </c>
      <c r="L8" s="301">
        <f ca="1">'Cash Flow Statement'!Q65</f>
        <v>31244.236451808894</v>
      </c>
    </row>
    <row r="9" spans="1:12" s="2" customFormat="1" ht="12.75" customHeight="1" x14ac:dyDescent="0.2">
      <c r="A9" s="287"/>
      <c r="B9" s="287" t="s">
        <v>89</v>
      </c>
      <c r="C9" s="287"/>
      <c r="D9" s="297"/>
      <c r="E9" s="344"/>
      <c r="F9" s="344"/>
      <c r="G9" s="344">
        <v>-18000</v>
      </c>
      <c r="H9" s="344">
        <v>-18000</v>
      </c>
      <c r="I9" s="344">
        <v>-25000</v>
      </c>
      <c r="J9" s="344">
        <v>-30000</v>
      </c>
      <c r="K9" s="344">
        <v>-30000</v>
      </c>
      <c r="L9" s="344">
        <v>-30000</v>
      </c>
    </row>
    <row r="10" spans="1:12" s="2" customFormat="1" ht="12.75" customHeight="1" x14ac:dyDescent="0.2">
      <c r="A10" s="287"/>
      <c r="B10" s="286" t="s">
        <v>72</v>
      </c>
      <c r="C10" s="286"/>
      <c r="D10" s="305"/>
      <c r="E10" s="300"/>
      <c r="F10" s="300"/>
      <c r="G10" s="300">
        <f ca="1">SUM(G7:G9)</f>
        <v>-4420.0793227573158</v>
      </c>
      <c r="H10" s="300">
        <f t="shared" ref="H10:L10" ca="1" si="1">SUM(H7:H9)</f>
        <v>-1537.2945437214366</v>
      </c>
      <c r="I10" s="300">
        <f t="shared" ca="1" si="1"/>
        <v>2988.4707226873143</v>
      </c>
      <c r="J10" s="300">
        <f t="shared" ca="1" si="1"/>
        <v>1442.6318891054179</v>
      </c>
      <c r="K10" s="300">
        <f t="shared" ca="1" si="1"/>
        <v>9273.9765266155955</v>
      </c>
      <c r="L10" s="300">
        <f t="shared" ca="1" si="1"/>
        <v>40518.21297842449</v>
      </c>
    </row>
    <row r="11" spans="1:12" s="2" customFormat="1" ht="21" customHeight="1" x14ac:dyDescent="0.2">
      <c r="A11" s="286" t="s">
        <v>344</v>
      </c>
      <c r="B11" s="287"/>
      <c r="C11" s="287"/>
      <c r="D11" s="345"/>
      <c r="E11" s="346"/>
      <c r="F11" s="346"/>
      <c r="G11" s="346"/>
      <c r="H11" s="346"/>
      <c r="I11" s="346"/>
      <c r="J11" s="346"/>
      <c r="K11" s="346"/>
    </row>
    <row r="12" spans="1:12" s="2" customFormat="1" ht="12.75" customHeight="1" x14ac:dyDescent="0.2">
      <c r="A12" s="286"/>
      <c r="B12" s="287" t="s">
        <v>73</v>
      </c>
      <c r="C12" s="287"/>
      <c r="D12" s="297"/>
      <c r="E12" s="302"/>
      <c r="F12" s="302"/>
      <c r="G12" s="302">
        <f>F17</f>
        <v>1569</v>
      </c>
      <c r="H12" s="302">
        <f t="shared" ref="H12:L12" si="2">G17</f>
        <v>1569</v>
      </c>
      <c r="I12" s="302">
        <f t="shared" si="2"/>
        <v>1569</v>
      </c>
      <c r="J12" s="302">
        <f t="shared" si="2"/>
        <v>1569</v>
      </c>
      <c r="K12" s="302">
        <f t="shared" si="2"/>
        <v>1569</v>
      </c>
      <c r="L12" s="302">
        <f t="shared" si="2"/>
        <v>1569</v>
      </c>
    </row>
    <row r="13" spans="1:12" s="2" customFormat="1" ht="12.75" customHeight="1" x14ac:dyDescent="0.2">
      <c r="A13" s="286"/>
      <c r="B13" s="287" t="s">
        <v>348</v>
      </c>
      <c r="C13" s="287"/>
      <c r="D13" s="309"/>
      <c r="E13" s="303"/>
      <c r="F13" s="303"/>
      <c r="G13" s="303">
        <v>0</v>
      </c>
      <c r="H13" s="303">
        <v>0</v>
      </c>
      <c r="I13" s="303">
        <v>0</v>
      </c>
      <c r="J13" s="303">
        <v>0</v>
      </c>
      <c r="K13" s="303">
        <v>0</v>
      </c>
      <c r="L13" s="303">
        <v>0</v>
      </c>
    </row>
    <row r="14" spans="1:12" s="2" customFormat="1" ht="12.75" customHeight="1" x14ac:dyDescent="0.2">
      <c r="A14" s="286"/>
      <c r="B14" s="287" t="s">
        <v>349</v>
      </c>
      <c r="C14" s="287"/>
      <c r="D14" s="309"/>
      <c r="E14" s="303"/>
      <c r="F14" s="303"/>
      <c r="G14" s="303">
        <v>0</v>
      </c>
      <c r="H14" s="303">
        <v>0</v>
      </c>
      <c r="I14" s="303">
        <v>0</v>
      </c>
      <c r="J14" s="303">
        <v>0</v>
      </c>
      <c r="K14" s="303">
        <v>0</v>
      </c>
      <c r="L14" s="303">
        <v>0</v>
      </c>
    </row>
    <row r="15" spans="1:12" s="2" customFormat="1" ht="12.75" customHeight="1" x14ac:dyDescent="0.2">
      <c r="A15" s="286"/>
      <c r="B15" s="287" t="s">
        <v>350</v>
      </c>
      <c r="C15" s="287"/>
      <c r="D15" s="309"/>
      <c r="E15" s="303"/>
      <c r="F15" s="303"/>
      <c r="G15" s="303">
        <v>0</v>
      </c>
      <c r="H15" s="303">
        <v>0</v>
      </c>
      <c r="I15" s="303">
        <v>0</v>
      </c>
      <c r="J15" s="303">
        <v>0</v>
      </c>
      <c r="K15" s="303">
        <v>0</v>
      </c>
      <c r="L15" s="303">
        <v>0</v>
      </c>
    </row>
    <row r="16" spans="1:12" s="2" customFormat="1" ht="12.75" customHeight="1" x14ac:dyDescent="0.2">
      <c r="A16" s="286"/>
      <c r="B16" s="287" t="s">
        <v>351</v>
      </c>
      <c r="C16" s="287"/>
      <c r="D16" s="347"/>
      <c r="E16" s="307"/>
      <c r="F16" s="307"/>
      <c r="G16" s="311">
        <v>0</v>
      </c>
      <c r="H16" s="311">
        <v>0</v>
      </c>
      <c r="I16" s="311">
        <v>0</v>
      </c>
      <c r="J16" s="311">
        <v>0</v>
      </c>
      <c r="K16" s="311">
        <v>0</v>
      </c>
      <c r="L16" s="311">
        <v>0</v>
      </c>
    </row>
    <row r="17" spans="1:12" s="2" customFormat="1" ht="12.75" customHeight="1" x14ac:dyDescent="0.2">
      <c r="A17" s="287"/>
      <c r="B17" s="286" t="s">
        <v>345</v>
      </c>
      <c r="C17" s="348"/>
      <c r="D17" s="305"/>
      <c r="E17" s="305"/>
      <c r="F17" s="305">
        <f>'Balance Sheet'!J30-F35</f>
        <v>1569</v>
      </c>
      <c r="G17" s="300">
        <f>SUM(G12:G16)</f>
        <v>1569</v>
      </c>
      <c r="H17" s="300">
        <f t="shared" ref="H17:L17" si="3">SUM(H12:H16)</f>
        <v>1569</v>
      </c>
      <c r="I17" s="300">
        <f t="shared" si="3"/>
        <v>1569</v>
      </c>
      <c r="J17" s="300">
        <f t="shared" si="3"/>
        <v>1569</v>
      </c>
      <c r="K17" s="300">
        <f t="shared" si="3"/>
        <v>1569</v>
      </c>
      <c r="L17" s="300">
        <f t="shared" si="3"/>
        <v>1569</v>
      </c>
    </row>
    <row r="18" spans="1:12" s="2" customFormat="1" ht="12.75" customHeight="1" x14ac:dyDescent="0.2">
      <c r="A18" s="286"/>
      <c r="B18" s="287" t="s">
        <v>346</v>
      </c>
      <c r="C18" s="349"/>
      <c r="D18" s="297"/>
      <c r="E18" s="302"/>
      <c r="F18" s="302"/>
      <c r="G18" s="302">
        <f>AVERAGE(G12,G17)*G19</f>
        <v>40.795899999999996</v>
      </c>
      <c r="H18" s="302">
        <f t="shared" ref="H18:L18" si="4">AVERAGE(H12,H17)*H19</f>
        <v>40.795899999999996</v>
      </c>
      <c r="I18" s="302">
        <f t="shared" si="4"/>
        <v>40.795899999999996</v>
      </c>
      <c r="J18" s="302">
        <f t="shared" si="4"/>
        <v>40.795899999999996</v>
      </c>
      <c r="K18" s="302">
        <f t="shared" si="4"/>
        <v>40.795899999999996</v>
      </c>
      <c r="L18" s="302">
        <f t="shared" si="4"/>
        <v>40.795899999999996</v>
      </c>
    </row>
    <row r="19" spans="1:12" s="2" customFormat="1" ht="12.75" customHeight="1" x14ac:dyDescent="0.2">
      <c r="A19" s="286"/>
      <c r="B19" s="287"/>
      <c r="C19" s="350" t="s">
        <v>347</v>
      </c>
      <c r="D19" s="297"/>
      <c r="E19" s="351"/>
      <c r="F19" s="351"/>
      <c r="G19" s="448">
        <f>(1*0.047+1492*0.0247+55*0.0508+21*0.0525)/(1+1492+55+21)</f>
        <v>2.6001210962396427E-2</v>
      </c>
      <c r="H19" s="448">
        <f t="shared" ref="H19:L19" si="5">(1*0.047+1492*0.0247+55*0.0508+21*0.0525)/(1+1492+55+21)</f>
        <v>2.6001210962396427E-2</v>
      </c>
      <c r="I19" s="448">
        <f t="shared" si="5"/>
        <v>2.6001210962396427E-2</v>
      </c>
      <c r="J19" s="448">
        <f t="shared" si="5"/>
        <v>2.6001210962396427E-2</v>
      </c>
      <c r="K19" s="448">
        <f t="shared" si="5"/>
        <v>2.6001210962396427E-2</v>
      </c>
      <c r="L19" s="448">
        <f t="shared" si="5"/>
        <v>2.6001210962396427E-2</v>
      </c>
    </row>
    <row r="20" spans="1:12" s="2" customFormat="1" ht="21" customHeight="1" x14ac:dyDescent="0.2">
      <c r="A20" s="286" t="s">
        <v>352</v>
      </c>
      <c r="B20" s="287"/>
      <c r="C20" s="287"/>
      <c r="D20" s="345"/>
      <c r="E20" s="346"/>
      <c r="F20" s="346"/>
      <c r="G20" s="346"/>
      <c r="H20" s="346"/>
      <c r="I20" s="346"/>
      <c r="J20" s="346"/>
      <c r="K20" s="346"/>
    </row>
    <row r="21" spans="1:12" s="2" customFormat="1" ht="12.75" customHeight="1" x14ac:dyDescent="0.2">
      <c r="A21" s="286"/>
      <c r="B21" s="287" t="s">
        <v>353</v>
      </c>
      <c r="C21" s="287"/>
      <c r="D21" s="297"/>
      <c r="E21" s="302"/>
      <c r="F21" s="302"/>
      <c r="G21" s="302">
        <f>F26</f>
        <v>6584</v>
      </c>
      <c r="H21" s="302">
        <f t="shared" ref="H21:L21" si="6">G26</f>
        <v>6584</v>
      </c>
      <c r="I21" s="302">
        <f t="shared" si="6"/>
        <v>6584</v>
      </c>
      <c r="J21" s="302">
        <f t="shared" si="6"/>
        <v>6584</v>
      </c>
      <c r="K21" s="302">
        <f t="shared" si="6"/>
        <v>6584</v>
      </c>
      <c r="L21" s="302">
        <f t="shared" si="6"/>
        <v>6584</v>
      </c>
    </row>
    <row r="22" spans="1:12" s="2" customFormat="1" ht="12.75" customHeight="1" x14ac:dyDescent="0.2">
      <c r="A22" s="286"/>
      <c r="B22" s="287" t="s">
        <v>348</v>
      </c>
      <c r="C22" s="287"/>
      <c r="D22" s="309"/>
      <c r="E22" s="303"/>
      <c r="F22" s="303"/>
      <c r="G22" s="303">
        <v>0</v>
      </c>
      <c r="H22" s="303">
        <v>0</v>
      </c>
      <c r="I22" s="303">
        <v>0</v>
      </c>
      <c r="J22" s="303">
        <v>0</v>
      </c>
      <c r="K22" s="303">
        <v>0</v>
      </c>
      <c r="L22" s="303">
        <v>0</v>
      </c>
    </row>
    <row r="23" spans="1:12" s="2" customFormat="1" ht="12.75" customHeight="1" x14ac:dyDescent="0.2">
      <c r="A23" s="286"/>
      <c r="B23" s="287" t="s">
        <v>349</v>
      </c>
      <c r="C23" s="287"/>
      <c r="D23" s="309"/>
      <c r="E23" s="303"/>
      <c r="F23" s="303"/>
      <c r="G23" s="303">
        <v>0</v>
      </c>
      <c r="H23" s="303">
        <v>0</v>
      </c>
      <c r="I23" s="303">
        <v>0</v>
      </c>
      <c r="J23" s="303">
        <v>0</v>
      </c>
      <c r="K23" s="303">
        <v>0</v>
      </c>
      <c r="L23" s="303">
        <v>0</v>
      </c>
    </row>
    <row r="24" spans="1:12" s="2" customFormat="1" ht="12.75" customHeight="1" x14ac:dyDescent="0.2">
      <c r="A24" s="286"/>
      <c r="B24" s="287" t="s">
        <v>350</v>
      </c>
      <c r="C24" s="287"/>
      <c r="D24" s="309"/>
      <c r="E24" s="303"/>
      <c r="F24" s="303"/>
      <c r="G24" s="303">
        <v>0</v>
      </c>
      <c r="H24" s="303">
        <v>0</v>
      </c>
      <c r="I24" s="303">
        <v>0</v>
      </c>
      <c r="J24" s="303">
        <v>0</v>
      </c>
      <c r="K24" s="303">
        <v>0</v>
      </c>
      <c r="L24" s="303">
        <v>0</v>
      </c>
    </row>
    <row r="25" spans="1:12" s="2" customFormat="1" ht="12.75" customHeight="1" x14ac:dyDescent="0.2">
      <c r="A25" s="286"/>
      <c r="B25" s="287" t="s">
        <v>351</v>
      </c>
      <c r="C25" s="287"/>
      <c r="D25" s="347"/>
      <c r="E25" s="307"/>
      <c r="F25" s="307"/>
      <c r="G25" s="311">
        <v>0</v>
      </c>
      <c r="H25" s="311">
        <v>0</v>
      </c>
      <c r="I25" s="311">
        <v>0</v>
      </c>
      <c r="J25" s="311">
        <v>0</v>
      </c>
      <c r="K25" s="311">
        <v>0</v>
      </c>
      <c r="L25" s="311">
        <v>0</v>
      </c>
    </row>
    <row r="26" spans="1:12" s="2" customFormat="1" ht="12.75" customHeight="1" x14ac:dyDescent="0.2">
      <c r="A26" s="287"/>
      <c r="B26" s="286" t="s">
        <v>354</v>
      </c>
      <c r="C26" s="348"/>
      <c r="D26" s="305"/>
      <c r="E26" s="305"/>
      <c r="F26" s="305">
        <f>'Balance Sheet'!J33-F44</f>
        <v>6584</v>
      </c>
      <c r="G26" s="300">
        <f>SUM(G21:G25)</f>
        <v>6584</v>
      </c>
      <c r="H26" s="300">
        <f t="shared" ref="H26:L26" si="7">SUM(H21:H25)</f>
        <v>6584</v>
      </c>
      <c r="I26" s="300">
        <f t="shared" si="7"/>
        <v>6584</v>
      </c>
      <c r="J26" s="300">
        <f t="shared" si="7"/>
        <v>6584</v>
      </c>
      <c r="K26" s="300">
        <f t="shared" si="7"/>
        <v>6584</v>
      </c>
      <c r="L26" s="300">
        <f t="shared" si="7"/>
        <v>6584</v>
      </c>
    </row>
    <row r="27" spans="1:12" s="2" customFormat="1" ht="12.75" customHeight="1" x14ac:dyDescent="0.2">
      <c r="A27" s="286"/>
      <c r="B27" s="287" t="s">
        <v>74</v>
      </c>
      <c r="C27" s="349"/>
      <c r="D27" s="297"/>
      <c r="E27" s="302"/>
      <c r="F27" s="302"/>
      <c r="G27" s="302">
        <f>AVERAGE(G21,G26)*G28</f>
        <v>238.61799999999999</v>
      </c>
      <c r="H27" s="302">
        <f t="shared" ref="H27:L27" si="8">AVERAGE(H21,H26)*H28</f>
        <v>238.61799999999999</v>
      </c>
      <c r="I27" s="302">
        <f t="shared" si="8"/>
        <v>238.61799999999999</v>
      </c>
      <c r="J27" s="302">
        <f t="shared" si="8"/>
        <v>238.61799999999999</v>
      </c>
      <c r="K27" s="302">
        <f t="shared" si="8"/>
        <v>238.61799999999999</v>
      </c>
      <c r="L27" s="302">
        <f t="shared" si="8"/>
        <v>238.61799999999999</v>
      </c>
    </row>
    <row r="28" spans="1:12" s="2" customFormat="1" ht="12.75" customHeight="1" x14ac:dyDescent="0.2">
      <c r="A28" s="286"/>
      <c r="B28" s="287"/>
      <c r="C28" s="350" t="s">
        <v>86</v>
      </c>
      <c r="D28" s="297"/>
      <c r="E28" s="352"/>
      <c r="F28" s="352"/>
      <c r="G28" s="353">
        <f>(2*0.0575+1745*0.0657+4288*0.0211+337*0.0625+212*0.0581)/(2+1745+4288+337+212)</f>
        <v>3.624210206561361E-2</v>
      </c>
      <c r="H28" s="353">
        <f t="shared" ref="H28:L28" si="9">(2*0.0575+1745*0.0657+4288*0.0211+337*0.0625+212*0.0581)/(2+1745+4288+337+212)</f>
        <v>3.624210206561361E-2</v>
      </c>
      <c r="I28" s="353">
        <f t="shared" si="9"/>
        <v>3.624210206561361E-2</v>
      </c>
      <c r="J28" s="353">
        <f t="shared" si="9"/>
        <v>3.624210206561361E-2</v>
      </c>
      <c r="K28" s="353">
        <f t="shared" si="9"/>
        <v>3.624210206561361E-2</v>
      </c>
      <c r="L28" s="353">
        <f t="shared" si="9"/>
        <v>3.624210206561361E-2</v>
      </c>
    </row>
    <row r="29" spans="1:12" s="2" customFormat="1" ht="21" customHeight="1" x14ac:dyDescent="0.2">
      <c r="A29" s="286" t="s">
        <v>355</v>
      </c>
      <c r="B29" s="287"/>
      <c r="C29" s="287"/>
      <c r="D29" s="345"/>
      <c r="E29" s="346"/>
      <c r="F29" s="346"/>
      <c r="G29" s="346"/>
      <c r="H29" s="346"/>
      <c r="I29" s="346"/>
      <c r="J29" s="346"/>
      <c r="K29" s="346"/>
    </row>
    <row r="30" spans="1:12" s="2" customFormat="1" ht="12.75" customHeight="1" x14ac:dyDescent="0.2">
      <c r="A30" s="286"/>
      <c r="B30" s="287" t="s">
        <v>356</v>
      </c>
      <c r="C30" s="287"/>
      <c r="D30" s="297"/>
      <c r="E30" s="302"/>
      <c r="F30" s="302"/>
      <c r="G30" s="302">
        <f>F35</f>
        <v>71</v>
      </c>
      <c r="H30" s="302">
        <f t="shared" ref="H30:L30" si="10">G35</f>
        <v>71</v>
      </c>
      <c r="I30" s="302">
        <f t="shared" si="10"/>
        <v>71</v>
      </c>
      <c r="J30" s="302">
        <f t="shared" si="10"/>
        <v>71</v>
      </c>
      <c r="K30" s="302">
        <f t="shared" si="10"/>
        <v>71</v>
      </c>
      <c r="L30" s="302">
        <f t="shared" si="10"/>
        <v>71</v>
      </c>
    </row>
    <row r="31" spans="1:12" s="2" customFormat="1" ht="12.75" customHeight="1" x14ac:dyDescent="0.2">
      <c r="A31" s="286"/>
      <c r="B31" s="287" t="s">
        <v>348</v>
      </c>
      <c r="C31" s="287"/>
      <c r="D31" s="309"/>
      <c r="E31" s="303"/>
      <c r="F31" s="303"/>
      <c r="G31" s="303">
        <v>0</v>
      </c>
      <c r="H31" s="303">
        <v>0</v>
      </c>
      <c r="I31" s="303">
        <v>0</v>
      </c>
      <c r="J31" s="303">
        <v>0</v>
      </c>
      <c r="K31" s="303">
        <v>0</v>
      </c>
      <c r="L31" s="303">
        <v>0</v>
      </c>
    </row>
    <row r="32" spans="1:12" s="2" customFormat="1" ht="12.75" customHeight="1" x14ac:dyDescent="0.2">
      <c r="A32" s="286"/>
      <c r="B32" s="287" t="s">
        <v>349</v>
      </c>
      <c r="C32" s="287"/>
      <c r="D32" s="309"/>
      <c r="E32" s="303"/>
      <c r="F32" s="303"/>
      <c r="G32" s="303">
        <v>0</v>
      </c>
      <c r="H32" s="303">
        <v>0</v>
      </c>
      <c r="I32" s="303">
        <v>0</v>
      </c>
      <c r="J32" s="303">
        <v>0</v>
      </c>
      <c r="K32" s="303">
        <v>0</v>
      </c>
      <c r="L32" s="303">
        <v>0</v>
      </c>
    </row>
    <row r="33" spans="1:12" s="2" customFormat="1" ht="12.75" customHeight="1" x14ac:dyDescent="0.2">
      <c r="A33" s="286"/>
      <c r="B33" s="287" t="s">
        <v>350</v>
      </c>
      <c r="C33" s="287"/>
      <c r="D33" s="309"/>
      <c r="E33" s="303"/>
      <c r="F33" s="303"/>
      <c r="G33" s="303">
        <v>0</v>
      </c>
      <c r="H33" s="303">
        <v>0</v>
      </c>
      <c r="I33" s="303">
        <v>0</v>
      </c>
      <c r="J33" s="303">
        <v>0</v>
      </c>
      <c r="K33" s="303">
        <v>0</v>
      </c>
      <c r="L33" s="303">
        <v>0</v>
      </c>
    </row>
    <row r="34" spans="1:12" s="2" customFormat="1" ht="12.75" customHeight="1" x14ac:dyDescent="0.2">
      <c r="A34" s="286"/>
      <c r="B34" s="287" t="s">
        <v>351</v>
      </c>
      <c r="C34" s="287"/>
      <c r="D34" s="347"/>
      <c r="E34" s="307"/>
      <c r="F34" s="307"/>
      <c r="G34" s="303">
        <v>0</v>
      </c>
      <c r="H34" s="303">
        <v>0</v>
      </c>
      <c r="I34" s="303">
        <v>0</v>
      </c>
      <c r="J34" s="303">
        <v>0</v>
      </c>
      <c r="K34" s="303">
        <v>0</v>
      </c>
      <c r="L34" s="303">
        <v>0</v>
      </c>
    </row>
    <row r="35" spans="1:12" s="2" customFormat="1" ht="12.75" customHeight="1" x14ac:dyDescent="0.2">
      <c r="A35" s="287"/>
      <c r="B35" s="286" t="s">
        <v>357</v>
      </c>
      <c r="C35" s="348"/>
      <c r="D35" s="305"/>
      <c r="E35" s="305"/>
      <c r="F35" s="305">
        <v>71</v>
      </c>
      <c r="G35" s="385">
        <f>SUM(G30:G34)</f>
        <v>71</v>
      </c>
      <c r="H35" s="385">
        <f t="shared" ref="H35:L35" si="11">SUM(H30:H34)</f>
        <v>71</v>
      </c>
      <c r="I35" s="385">
        <f t="shared" si="11"/>
        <v>71</v>
      </c>
      <c r="J35" s="385">
        <f t="shared" si="11"/>
        <v>71</v>
      </c>
      <c r="K35" s="385">
        <f t="shared" si="11"/>
        <v>71</v>
      </c>
      <c r="L35" s="385">
        <f t="shared" si="11"/>
        <v>71</v>
      </c>
    </row>
    <row r="36" spans="1:12" s="2" customFormat="1" ht="12.75" customHeight="1" x14ac:dyDescent="0.2">
      <c r="A36" s="286"/>
      <c r="B36" s="287" t="s">
        <v>358</v>
      </c>
      <c r="C36" s="349"/>
      <c r="D36" s="297"/>
      <c r="E36" s="302"/>
      <c r="F36" s="302"/>
      <c r="G36" s="302">
        <f t="shared" ref="G36:L36" si="12">AVERAGE(G30,G35)*G37</f>
        <v>3.3370000000000002</v>
      </c>
      <c r="H36" s="302">
        <f t="shared" si="12"/>
        <v>3.3370000000000002</v>
      </c>
      <c r="I36" s="302">
        <f t="shared" si="12"/>
        <v>3.3370000000000002</v>
      </c>
      <c r="J36" s="302">
        <f t="shared" si="12"/>
        <v>3.3370000000000002</v>
      </c>
      <c r="K36" s="302">
        <f t="shared" si="12"/>
        <v>3.3370000000000002</v>
      </c>
      <c r="L36" s="302">
        <f t="shared" si="12"/>
        <v>3.3370000000000002</v>
      </c>
    </row>
    <row r="37" spans="1:12" s="2" customFormat="1" ht="12.75" customHeight="1" x14ac:dyDescent="0.2">
      <c r="A37" s="286"/>
      <c r="B37" s="287"/>
      <c r="C37" s="350" t="s">
        <v>359</v>
      </c>
      <c r="D37" s="297"/>
      <c r="E37" s="352"/>
      <c r="F37" s="352"/>
      <c r="G37" s="451">
        <v>4.7E-2</v>
      </c>
      <c r="H37" s="451">
        <v>4.7E-2</v>
      </c>
      <c r="I37" s="451">
        <v>4.7E-2</v>
      </c>
      <c r="J37" s="451">
        <v>4.7E-2</v>
      </c>
      <c r="K37" s="451">
        <v>4.7E-2</v>
      </c>
      <c r="L37" s="451">
        <v>4.7E-2</v>
      </c>
    </row>
    <row r="38" spans="1:12" s="2" customFormat="1" ht="21" customHeight="1" x14ac:dyDescent="0.2">
      <c r="A38" s="286" t="s">
        <v>360</v>
      </c>
      <c r="B38" s="287"/>
      <c r="C38" s="287"/>
      <c r="D38" s="345"/>
      <c r="E38" s="346"/>
      <c r="F38" s="346"/>
      <c r="G38" s="346"/>
      <c r="H38" s="346"/>
      <c r="I38" s="346"/>
      <c r="J38" s="346"/>
      <c r="K38" s="346"/>
    </row>
    <row r="39" spans="1:12" s="2" customFormat="1" ht="12.75" customHeight="1" x14ac:dyDescent="0.2">
      <c r="A39" s="286"/>
      <c r="B39" s="287" t="s">
        <v>361</v>
      </c>
      <c r="C39" s="287"/>
      <c r="D39" s="297"/>
      <c r="E39" s="302"/>
      <c r="F39" s="302"/>
      <c r="G39" s="302">
        <f>F44</f>
        <v>152</v>
      </c>
      <c r="H39" s="302">
        <f t="shared" ref="H39:L39" si="13">G44</f>
        <v>152</v>
      </c>
      <c r="I39" s="302">
        <f t="shared" si="13"/>
        <v>152</v>
      </c>
      <c r="J39" s="302">
        <f t="shared" si="13"/>
        <v>152</v>
      </c>
      <c r="K39" s="302">
        <f t="shared" si="13"/>
        <v>152</v>
      </c>
      <c r="L39" s="302">
        <f t="shared" si="13"/>
        <v>152</v>
      </c>
    </row>
    <row r="40" spans="1:12" s="2" customFormat="1" ht="12.75" customHeight="1" x14ac:dyDescent="0.2">
      <c r="A40" s="286"/>
      <c r="B40" s="287" t="s">
        <v>348</v>
      </c>
      <c r="C40" s="287"/>
      <c r="D40" s="309"/>
      <c r="E40" s="303"/>
      <c r="F40" s="303"/>
      <c r="G40" s="303">
        <v>0</v>
      </c>
      <c r="H40" s="303">
        <v>0</v>
      </c>
      <c r="I40" s="303">
        <v>0</v>
      </c>
      <c r="J40" s="303">
        <v>0</v>
      </c>
      <c r="K40" s="303">
        <v>0</v>
      </c>
      <c r="L40" s="303">
        <v>0</v>
      </c>
    </row>
    <row r="41" spans="1:12" s="2" customFormat="1" ht="12.75" customHeight="1" x14ac:dyDescent="0.2">
      <c r="A41" s="286"/>
      <c r="B41" s="287" t="s">
        <v>349</v>
      </c>
      <c r="C41" s="287"/>
      <c r="D41" s="309"/>
      <c r="E41" s="303"/>
      <c r="F41" s="303"/>
      <c r="G41" s="303">
        <v>0</v>
      </c>
      <c r="H41" s="303">
        <v>0</v>
      </c>
      <c r="I41" s="303">
        <v>0</v>
      </c>
      <c r="J41" s="303">
        <v>0</v>
      </c>
      <c r="K41" s="303">
        <v>0</v>
      </c>
      <c r="L41" s="303">
        <v>0</v>
      </c>
    </row>
    <row r="42" spans="1:12" s="2" customFormat="1" ht="12.75" customHeight="1" x14ac:dyDescent="0.2">
      <c r="A42" s="286"/>
      <c r="B42" s="287" t="s">
        <v>350</v>
      </c>
      <c r="C42" s="287"/>
      <c r="D42" s="309"/>
      <c r="E42" s="303"/>
      <c r="F42" s="303"/>
      <c r="G42" s="303">
        <v>0</v>
      </c>
      <c r="H42" s="303">
        <v>0</v>
      </c>
      <c r="I42" s="303">
        <v>0</v>
      </c>
      <c r="J42" s="303">
        <v>0</v>
      </c>
      <c r="K42" s="303">
        <v>0</v>
      </c>
      <c r="L42" s="303">
        <v>0</v>
      </c>
    </row>
    <row r="43" spans="1:12" s="2" customFormat="1" ht="12.75" customHeight="1" x14ac:dyDescent="0.2">
      <c r="A43" s="286"/>
      <c r="B43" s="287" t="s">
        <v>351</v>
      </c>
      <c r="C43" s="287"/>
      <c r="D43" s="347"/>
      <c r="E43" s="307"/>
      <c r="F43" s="307"/>
      <c r="G43" s="303">
        <v>0</v>
      </c>
      <c r="H43" s="303">
        <v>0</v>
      </c>
      <c r="I43" s="303">
        <v>0</v>
      </c>
      <c r="J43" s="303">
        <v>0</v>
      </c>
      <c r="K43" s="303">
        <v>0</v>
      </c>
      <c r="L43" s="303">
        <v>0</v>
      </c>
    </row>
    <row r="44" spans="1:12" s="2" customFormat="1" ht="12.75" customHeight="1" x14ac:dyDescent="0.2">
      <c r="A44" s="287"/>
      <c r="B44" s="286" t="s">
        <v>362</v>
      </c>
      <c r="C44" s="348"/>
      <c r="D44" s="305"/>
      <c r="E44" s="305"/>
      <c r="F44" s="305">
        <v>152</v>
      </c>
      <c r="G44" s="385">
        <f>SUM(G39:G43)</f>
        <v>152</v>
      </c>
      <c r="H44" s="385">
        <f t="shared" ref="H44" si="14">SUM(H39:H43)</f>
        <v>152</v>
      </c>
      <c r="I44" s="385">
        <f t="shared" ref="I44" si="15">SUM(I39:I43)</f>
        <v>152</v>
      </c>
      <c r="J44" s="385">
        <f t="shared" ref="J44" si="16">SUM(J39:J43)</f>
        <v>152</v>
      </c>
      <c r="K44" s="385">
        <f t="shared" ref="K44" si="17">SUM(K39:K43)</f>
        <v>152</v>
      </c>
      <c r="L44" s="385">
        <f t="shared" ref="L44" si="18">SUM(L39:L43)</f>
        <v>152</v>
      </c>
    </row>
    <row r="45" spans="1:12" s="2" customFormat="1" ht="12.75" customHeight="1" x14ac:dyDescent="0.2">
      <c r="A45" s="286"/>
      <c r="B45" s="287" t="s">
        <v>363</v>
      </c>
      <c r="C45" s="349"/>
      <c r="D45" s="297"/>
      <c r="E45" s="302"/>
      <c r="F45" s="302"/>
      <c r="G45" s="302">
        <f t="shared" ref="G45:L45" si="19">AVERAGE(G39,G44)*G46</f>
        <v>7.1440000000000001</v>
      </c>
      <c r="H45" s="302">
        <f t="shared" si="19"/>
        <v>7.1440000000000001</v>
      </c>
      <c r="I45" s="302">
        <f t="shared" si="19"/>
        <v>7.1440000000000001</v>
      </c>
      <c r="J45" s="302">
        <f t="shared" si="19"/>
        <v>7.1440000000000001</v>
      </c>
      <c r="K45" s="302">
        <f t="shared" si="19"/>
        <v>7.1440000000000001</v>
      </c>
      <c r="L45" s="302">
        <f t="shared" si="19"/>
        <v>7.1440000000000001</v>
      </c>
    </row>
    <row r="46" spans="1:12" s="2" customFormat="1" ht="12.75" customHeight="1" x14ac:dyDescent="0.2">
      <c r="A46" s="286"/>
      <c r="B46" s="287"/>
      <c r="C46" s="350" t="s">
        <v>364</v>
      </c>
      <c r="D46" s="297"/>
      <c r="E46" s="352"/>
      <c r="F46" s="352"/>
      <c r="G46" s="451">
        <v>4.7E-2</v>
      </c>
      <c r="H46" s="451">
        <v>4.7E-2</v>
      </c>
      <c r="I46" s="451">
        <v>4.7E-2</v>
      </c>
      <c r="J46" s="451">
        <v>4.7E-2</v>
      </c>
      <c r="K46" s="451">
        <v>4.7E-2</v>
      </c>
      <c r="L46" s="451">
        <v>4.7E-2</v>
      </c>
    </row>
    <row r="47" spans="1:12" ht="21" customHeight="1" x14ac:dyDescent="0.2">
      <c r="A47" s="222"/>
      <c r="B47" s="219" t="s">
        <v>85</v>
      </c>
      <c r="C47" s="222"/>
      <c r="D47" s="220"/>
      <c r="E47" s="354"/>
      <c r="F47" s="354"/>
      <c r="G47" s="354">
        <f t="shared" ref="G47:L47" si="20">G13+G14+G15+G16+G22+G23+G24+G25+G31+G32+G33+G34</f>
        <v>0</v>
      </c>
      <c r="H47" s="354">
        <f t="shared" si="20"/>
        <v>0</v>
      </c>
      <c r="I47" s="354">
        <f t="shared" si="20"/>
        <v>0</v>
      </c>
      <c r="J47" s="354">
        <f t="shared" si="20"/>
        <v>0</v>
      </c>
      <c r="K47" s="354">
        <f t="shared" si="20"/>
        <v>0</v>
      </c>
      <c r="L47" s="354">
        <f t="shared" si="20"/>
        <v>0</v>
      </c>
    </row>
    <row r="48" spans="1:12" ht="21" customHeight="1" x14ac:dyDescent="0.2">
      <c r="A48" s="222"/>
      <c r="B48" s="219" t="s">
        <v>84</v>
      </c>
      <c r="C48" s="222"/>
      <c r="D48" s="220"/>
      <c r="E48" s="355"/>
      <c r="F48" s="355"/>
      <c r="G48" s="355">
        <f>G18+G27+G36+G45</f>
        <v>289.89490000000001</v>
      </c>
      <c r="H48" s="355">
        <f t="shared" ref="H48:L48" si="21">H18+H27+H36+H45</f>
        <v>289.89490000000001</v>
      </c>
      <c r="I48" s="355">
        <f t="shared" si="21"/>
        <v>289.89490000000001</v>
      </c>
      <c r="J48" s="355">
        <f t="shared" si="21"/>
        <v>289.89490000000001</v>
      </c>
      <c r="K48" s="355">
        <f t="shared" si="21"/>
        <v>289.89490000000001</v>
      </c>
      <c r="L48" s="355">
        <f t="shared" si="21"/>
        <v>289.89490000000001</v>
      </c>
    </row>
    <row r="49" spans="1:12" ht="21" customHeight="1" x14ac:dyDescent="0.2">
      <c r="A49" s="287"/>
      <c r="B49" s="286" t="s">
        <v>83</v>
      </c>
      <c r="C49" s="287"/>
      <c r="D49" s="356"/>
      <c r="E49" s="356"/>
      <c r="F49" s="452">
        <f>'Balance Sheet'!J8</f>
        <v>16513</v>
      </c>
      <c r="G49" s="357">
        <f t="shared" ref="G49:L49" ca="1" si="22">G7+G8+G47</f>
        <v>13579.920677242684</v>
      </c>
      <c r="H49" s="357">
        <f t="shared" ca="1" si="22"/>
        <v>16462.705456278563</v>
      </c>
      <c r="I49" s="357">
        <f t="shared" ca="1" si="22"/>
        <v>27988.470722687314</v>
      </c>
      <c r="J49" s="357">
        <f t="shared" ca="1" si="22"/>
        <v>31442.631889105418</v>
      </c>
      <c r="K49" s="357">
        <f t="shared" ca="1" si="22"/>
        <v>39273.976526615596</v>
      </c>
      <c r="L49" s="357">
        <f t="shared" ca="1" si="22"/>
        <v>70518.21297842449</v>
      </c>
    </row>
    <row r="50" spans="1:12" ht="12.75" customHeight="1" x14ac:dyDescent="0.2">
      <c r="A50" s="287"/>
      <c r="B50" s="287" t="s">
        <v>41</v>
      </c>
      <c r="C50" s="358"/>
      <c r="D50" s="281"/>
      <c r="E50" s="281"/>
      <c r="F50" s="281"/>
      <c r="G50" s="281">
        <f t="shared" ref="G50:L50" ca="1" si="23">AVERAGE(G7,G49)*G51</f>
        <v>902.78762031728047</v>
      </c>
      <c r="H50" s="281">
        <f t="shared" ca="1" si="23"/>
        <v>901.27878400563736</v>
      </c>
      <c r="I50" s="281">
        <f t="shared" ca="1" si="23"/>
        <v>1333.5352853689762</v>
      </c>
      <c r="J50" s="281">
        <f t="shared" ca="1" si="23"/>
        <v>1782.9330783537819</v>
      </c>
      <c r="K50" s="281">
        <f t="shared" ca="1" si="23"/>
        <v>2121.4982524716302</v>
      </c>
      <c r="L50" s="281">
        <f t="shared" ca="1" si="23"/>
        <v>3293.7656851512024</v>
      </c>
    </row>
    <row r="51" spans="1:12" ht="12.75" customHeight="1" x14ac:dyDescent="0.2">
      <c r="A51" s="287"/>
      <c r="B51" s="287"/>
      <c r="C51" s="359" t="s">
        <v>87</v>
      </c>
      <c r="D51" s="281"/>
      <c r="E51" s="360"/>
      <c r="F51" s="360"/>
      <c r="G51" s="361">
        <v>0.06</v>
      </c>
      <c r="H51" s="361">
        <f>G51</f>
        <v>0.06</v>
      </c>
      <c r="I51" s="361">
        <f t="shared" ref="I51:L51" si="24">H51</f>
        <v>0.06</v>
      </c>
      <c r="J51" s="361">
        <f t="shared" si="24"/>
        <v>0.06</v>
      </c>
      <c r="K51" s="361">
        <f t="shared" si="24"/>
        <v>0.06</v>
      </c>
      <c r="L51" s="361">
        <f t="shared" si="24"/>
        <v>0.06</v>
      </c>
    </row>
    <row r="52" spans="1:12" ht="12.75" customHeight="1" x14ac:dyDescent="0.2">
      <c r="A52" s="299"/>
      <c r="B52" s="313" t="s">
        <v>12</v>
      </c>
      <c r="C52" s="299"/>
      <c r="D52" s="314"/>
      <c r="E52" s="314"/>
      <c r="F52" s="314"/>
      <c r="G52" s="314" t="str">
        <f ca="1">IF(ROUND(G49-'Balance Sheet'!K8,1)=0,"Y","N")</f>
        <v>Y</v>
      </c>
      <c r="H52" s="314" t="str">
        <f ca="1">IF(ROUND(H49-'Balance Sheet'!L8,1)=0,"Y","N")</f>
        <v>Y</v>
      </c>
      <c r="I52" s="314" t="str">
        <f ca="1">IF(ROUND(I49-'Balance Sheet'!M8,1)=0,"Y","N")</f>
        <v>Y</v>
      </c>
      <c r="J52" s="314" t="str">
        <f ca="1">IF(ROUND(J49-'Balance Sheet'!N8,1)=0,"Y","N")</f>
        <v>Y</v>
      </c>
      <c r="K52" s="314" t="str">
        <f ca="1">IF(ROUND(K49-'Balance Sheet'!O8,1)=0,"Y","N")</f>
        <v>Y</v>
      </c>
      <c r="L52" s="314" t="str">
        <f ca="1">IF(ROUND(L49-'Balance Sheet'!P8,1)=0,"Y","N")</f>
        <v>N</v>
      </c>
    </row>
    <row r="54" spans="1:12" ht="20.100000000000001" customHeight="1" x14ac:dyDescent="0.2">
      <c r="H54"/>
      <c r="I54"/>
      <c r="J54"/>
      <c r="L54" s="57"/>
    </row>
    <row r="55" spans="1:12" ht="20.100000000000001" customHeight="1" x14ac:dyDescent="0.2">
      <c r="H55"/>
      <c r="I55"/>
      <c r="J55"/>
      <c r="L55" s="57"/>
    </row>
    <row r="56" spans="1:12" ht="20.100000000000001" customHeight="1" x14ac:dyDescent="0.2">
      <c r="H56"/>
      <c r="I56"/>
      <c r="J56"/>
      <c r="L56" s="57"/>
    </row>
    <row r="57" spans="1:12" ht="20.100000000000001" customHeight="1" x14ac:dyDescent="0.2">
      <c r="H57"/>
      <c r="I57"/>
      <c r="J57"/>
      <c r="L57" s="57"/>
    </row>
    <row r="58" spans="1:12" ht="20.100000000000001" customHeight="1" x14ac:dyDescent="0.2">
      <c r="H58"/>
      <c r="I58"/>
      <c r="J58"/>
      <c r="L58" s="57"/>
    </row>
    <row r="59" spans="1:12" ht="20.100000000000001" customHeight="1" x14ac:dyDescent="0.2">
      <c r="H59"/>
      <c r="I59"/>
      <c r="J59"/>
      <c r="L59" s="57"/>
    </row>
    <row r="60" spans="1:12" ht="20.100000000000001" customHeight="1" x14ac:dyDescent="0.2">
      <c r="H60"/>
      <c r="I60"/>
      <c r="J60"/>
    </row>
    <row r="61" spans="1:12" ht="20.100000000000001" customHeight="1" x14ac:dyDescent="0.2">
      <c r="H61"/>
      <c r="I61"/>
      <c r="J61"/>
    </row>
  </sheetData>
  <phoneticPr fontId="1" type="noConversion"/>
  <pageMargins left="0.75" right="0.75" top="1" bottom="1" header="0.5" footer="0.5"/>
  <pageSetup scale="83" orientation="landscape" r:id="rId1"/>
  <headerFooter alignWithMargins="0">
    <oddFooter>&amp;LThe Analyst Exchange&amp;8
On - Line Training
www.theanalystexchange.com
&amp;R&amp;F, &amp;A
&amp;P of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
  <sheetViews>
    <sheetView workbookViewId="0">
      <selection activeCell="C3" sqref="C3"/>
    </sheetView>
  </sheetViews>
  <sheetFormatPr defaultRowHeight="12.75" x14ac:dyDescent="0.2"/>
  <sheetData>
    <row r="1" ht="29.85" customHeight="1"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P39"/>
  <sheetViews>
    <sheetView tabSelected="1" topLeftCell="A18" zoomScale="110" zoomScaleNormal="110" workbookViewId="0">
      <selection activeCell="F20" sqref="F20"/>
    </sheetView>
  </sheetViews>
  <sheetFormatPr defaultRowHeight="12" x14ac:dyDescent="0.2"/>
  <cols>
    <col min="1" max="2" width="2.7109375" style="60" customWidth="1"/>
    <col min="3" max="3" width="27" style="60" customWidth="1"/>
    <col min="4" max="4" width="15" style="60" customWidth="1"/>
    <col min="5" max="5" width="13.85546875" style="60" bestFit="1" customWidth="1"/>
    <col min="6" max="6" width="17.28515625" style="60" customWidth="1"/>
    <col min="7" max="7" width="11" style="60" bestFit="1" customWidth="1"/>
    <col min="8" max="8" width="9.7109375" style="60" customWidth="1"/>
    <col min="9" max="9" width="10.7109375" style="60" bestFit="1" customWidth="1"/>
    <col min="10" max="10" width="9.7109375" style="60" customWidth="1"/>
    <col min="11" max="11" width="10.7109375" style="60" bestFit="1" customWidth="1"/>
    <col min="12" max="13" width="9.7109375" style="60" customWidth="1"/>
    <col min="14" max="14" width="9.140625" style="60"/>
    <col min="15" max="15" width="12.85546875" style="60" bestFit="1" customWidth="1"/>
    <col min="16" max="16384" width="9.140625" style="60"/>
  </cols>
  <sheetData>
    <row r="1" spans="1:16" ht="29.65" customHeight="1" x14ac:dyDescent="0.2">
      <c r="A1" s="58"/>
      <c r="B1" s="58"/>
      <c r="C1" s="59"/>
      <c r="D1" s="59"/>
      <c r="E1" s="58"/>
      <c r="F1" s="58"/>
      <c r="G1" s="58"/>
      <c r="H1" s="58"/>
      <c r="I1" s="58"/>
      <c r="J1" s="58"/>
      <c r="K1" s="58"/>
      <c r="L1" s="80"/>
      <c r="M1" s="80"/>
      <c r="N1" s="80"/>
      <c r="O1" s="80"/>
      <c r="P1" s="80"/>
    </row>
    <row r="2" spans="1:16" ht="12.75" customHeight="1" x14ac:dyDescent="0.2">
      <c r="A2" s="61" t="s">
        <v>104</v>
      </c>
      <c r="B2" s="62"/>
      <c r="C2" s="61"/>
      <c r="D2" s="63"/>
      <c r="E2" s="63"/>
      <c r="F2" s="61"/>
      <c r="G2" s="61"/>
      <c r="H2" s="61"/>
      <c r="I2" s="61"/>
      <c r="J2" s="61"/>
      <c r="K2" s="61"/>
      <c r="L2" s="277"/>
      <c r="M2" s="277"/>
      <c r="N2" s="80"/>
      <c r="O2" s="80"/>
      <c r="P2" s="80"/>
    </row>
    <row r="3" spans="1:16" ht="12.75" customHeight="1" x14ac:dyDescent="0.2">
      <c r="A3" s="64" t="str">
        <f>'Debt Schedule'!A3</f>
        <v>(in US$ millions except per share amounts)</v>
      </c>
      <c r="B3" s="65"/>
      <c r="C3" s="66"/>
      <c r="D3" s="67" t="s">
        <v>31</v>
      </c>
      <c r="E3" s="67"/>
      <c r="F3" s="68"/>
      <c r="G3" s="69" t="s">
        <v>32</v>
      </c>
      <c r="H3" s="70"/>
      <c r="I3" s="71"/>
      <c r="J3" s="70"/>
      <c r="K3" s="70"/>
      <c r="L3" s="277"/>
      <c r="M3" s="277"/>
      <c r="N3" s="80"/>
      <c r="O3" s="80"/>
      <c r="P3" s="80"/>
    </row>
    <row r="4" spans="1:16" ht="12.75" customHeight="1" x14ac:dyDescent="0.2">
      <c r="A4" s="72"/>
      <c r="B4" s="65"/>
      <c r="C4" s="66"/>
      <c r="D4" s="73"/>
      <c r="E4" s="73"/>
      <c r="F4" s="74"/>
      <c r="G4" s="74"/>
      <c r="H4" s="74"/>
      <c r="I4" s="74"/>
      <c r="J4" s="74"/>
      <c r="K4" s="74"/>
      <c r="L4" s="277"/>
      <c r="M4" s="277"/>
      <c r="N4" s="80"/>
      <c r="O4" s="80"/>
      <c r="P4" s="80"/>
    </row>
    <row r="5" spans="1:16" ht="12.75" customHeight="1" x14ac:dyDescent="0.2">
      <c r="A5" s="75" t="s">
        <v>105</v>
      </c>
      <c r="B5" s="76"/>
      <c r="C5" s="75"/>
      <c r="D5" s="77">
        <v>2023</v>
      </c>
      <c r="E5" s="77">
        <f t="shared" ref="E5:K5" si="0">D5+1</f>
        <v>2024</v>
      </c>
      <c r="F5" s="77">
        <f t="shared" si="0"/>
        <v>2025</v>
      </c>
      <c r="G5" s="78">
        <f t="shared" si="0"/>
        <v>2026</v>
      </c>
      <c r="H5" s="78">
        <f t="shared" si="0"/>
        <v>2027</v>
      </c>
      <c r="I5" s="78">
        <f t="shared" si="0"/>
        <v>2028</v>
      </c>
      <c r="J5" s="78">
        <f t="shared" si="0"/>
        <v>2029</v>
      </c>
      <c r="K5" s="78">
        <f t="shared" si="0"/>
        <v>2030</v>
      </c>
      <c r="L5" s="277"/>
      <c r="M5" s="277"/>
      <c r="N5" s="80"/>
      <c r="O5" s="80"/>
      <c r="P5" s="80"/>
    </row>
    <row r="6" spans="1:16" ht="21" customHeight="1" x14ac:dyDescent="0.2">
      <c r="A6" s="79" t="s">
        <v>106</v>
      </c>
      <c r="B6" s="80"/>
      <c r="C6" s="80"/>
      <c r="D6" s="81"/>
      <c r="E6" s="81"/>
      <c r="F6" s="81"/>
      <c r="G6" s="81"/>
      <c r="H6" s="81"/>
      <c r="I6" s="81"/>
      <c r="J6" s="81"/>
      <c r="K6" s="81"/>
      <c r="L6" s="277"/>
      <c r="M6" s="277"/>
      <c r="N6" s="80"/>
      <c r="O6" s="80"/>
      <c r="P6" s="80"/>
    </row>
    <row r="7" spans="1:16" ht="12.75" customHeight="1" x14ac:dyDescent="0.2">
      <c r="A7" s="79"/>
      <c r="B7" s="80" t="s">
        <v>0</v>
      </c>
      <c r="C7" s="80"/>
      <c r="D7" s="81"/>
      <c r="E7" s="81"/>
      <c r="F7" s="81"/>
      <c r="G7" s="81">
        <f>'Income Statement'!L46</f>
        <v>2746.6644890684274</v>
      </c>
      <c r="H7" s="81">
        <f>'Income Statement'!M46</f>
        <v>6507.6394357305908</v>
      </c>
      <c r="I7" s="81">
        <f>'Income Statement'!N46</f>
        <v>9270.5460479099911</v>
      </c>
      <c r="J7" s="81">
        <f>'Income Statement'!O46</f>
        <v>15385.139155572037</v>
      </c>
      <c r="K7" s="81">
        <f>'Income Statement'!P46</f>
        <v>21200.75403104513</v>
      </c>
      <c r="L7" s="277"/>
      <c r="M7" s="277"/>
      <c r="N7" s="80"/>
      <c r="O7" s="80"/>
      <c r="P7" s="80"/>
    </row>
    <row r="8" spans="1:16" ht="12.75" customHeight="1" x14ac:dyDescent="0.2">
      <c r="A8" s="79"/>
      <c r="B8" s="80" t="s">
        <v>107</v>
      </c>
      <c r="C8" s="80"/>
      <c r="D8" s="81"/>
      <c r="E8" s="81"/>
      <c r="F8" s="81"/>
      <c r="G8" s="81">
        <f>'Cash Flow Statement'!L8</f>
        <v>8059.1385281385283</v>
      </c>
      <c r="H8" s="81">
        <f>'Cash Flow Statement'!M8</f>
        <v>9877.3203463203463</v>
      </c>
      <c r="I8" s="81">
        <f>'Cash Flow Statement'!N8</f>
        <v>11210.65367965368</v>
      </c>
      <c r="J8" s="81">
        <f>'Cash Flow Statement'!O8</f>
        <v>12543.987012987014</v>
      </c>
      <c r="K8" s="81">
        <f>'Cash Flow Statement'!P8</f>
        <v>13710.65367965368</v>
      </c>
      <c r="L8" s="277"/>
      <c r="M8" s="277"/>
      <c r="N8" s="80"/>
      <c r="O8" s="80"/>
      <c r="P8" s="80"/>
    </row>
    <row r="9" spans="1:16" ht="12.75" customHeight="1" x14ac:dyDescent="0.2">
      <c r="A9" s="79"/>
      <c r="B9" s="80" t="s">
        <v>108</v>
      </c>
      <c r="C9" s="80"/>
      <c r="D9" s="81"/>
      <c r="E9" s="81"/>
      <c r="F9" s="81"/>
      <c r="G9" s="81">
        <f>'Cash Flow Statement'!L18</f>
        <v>123</v>
      </c>
      <c r="H9" s="81">
        <f>'Cash Flow Statement'!M18</f>
        <v>123</v>
      </c>
      <c r="I9" s="81">
        <f>'Cash Flow Statement'!N18</f>
        <v>123</v>
      </c>
      <c r="J9" s="81">
        <f>'Cash Flow Statement'!O18</f>
        <v>123</v>
      </c>
      <c r="K9" s="81">
        <f>'Cash Flow Statement'!P18</f>
        <v>123</v>
      </c>
      <c r="L9" s="277"/>
      <c r="M9" s="277"/>
      <c r="N9" s="80"/>
      <c r="O9" s="80"/>
      <c r="P9" s="80"/>
    </row>
    <row r="10" spans="1:16" ht="12.75" customHeight="1" x14ac:dyDescent="0.2">
      <c r="A10" s="79"/>
      <c r="B10" s="80" t="s">
        <v>109</v>
      </c>
      <c r="C10" s="80"/>
      <c r="D10" s="81"/>
      <c r="E10" s="81"/>
      <c r="F10" s="81"/>
      <c r="G10" s="81">
        <f>'Cash Flow Statement'!L9+'Cash Flow Statement'!L15</f>
        <v>3655.2944259739461</v>
      </c>
      <c r="H10" s="81">
        <f>'Cash Flow Statement'!M9+'Cash Flow Statement'!M15</f>
        <v>5542.5637563231039</v>
      </c>
      <c r="I10" s="81">
        <f>'Cash Flow Statement'!N9+'Cash Flow Statement'!N15</f>
        <v>6928.2046954038815</v>
      </c>
      <c r="J10" s="81">
        <f>'Cash Flow Statement'!O9+'Cash Flow Statement'!O15</f>
        <v>8144.0815315344553</v>
      </c>
      <c r="K10" s="81">
        <f>'Cash Flow Statement'!P9+'Cash Flow Statement'!P15</f>
        <v>10180.10191441807</v>
      </c>
      <c r="L10" s="277"/>
      <c r="M10" s="277"/>
      <c r="N10" s="80"/>
      <c r="O10" s="80"/>
      <c r="P10" s="80"/>
    </row>
    <row r="11" spans="1:16" ht="12.75" customHeight="1" x14ac:dyDescent="0.2">
      <c r="A11" s="79"/>
      <c r="B11" s="80" t="s">
        <v>110</v>
      </c>
      <c r="C11" s="80"/>
      <c r="D11" s="81"/>
      <c r="E11" s="81"/>
      <c r="F11" s="81"/>
      <c r="G11" s="81">
        <f>'Cash Flow Statement'!L30</f>
        <v>17257.405929108121</v>
      </c>
      <c r="H11" s="81">
        <f>'Cash Flow Statement'!M30</f>
        <v>11313.947178050284</v>
      </c>
      <c r="I11" s="81">
        <f>'Cash Flow Statement'!N30</f>
        <v>10880.892043500287</v>
      </c>
      <c r="J11" s="81">
        <f>'Cash Flow Statement'!O30</f>
        <v>-4202.8581717658744</v>
      </c>
      <c r="K11" s="81">
        <f>'Cash Flow Statement'!P30</f>
        <v>-9831.3092854974966</v>
      </c>
      <c r="L11" s="277"/>
      <c r="M11" s="277"/>
      <c r="N11" s="80"/>
      <c r="O11" s="80"/>
      <c r="P11" s="80"/>
    </row>
    <row r="12" spans="1:16" ht="12.75" customHeight="1" x14ac:dyDescent="0.2">
      <c r="A12" s="79"/>
      <c r="B12" s="80" t="s">
        <v>111</v>
      </c>
      <c r="C12" s="80"/>
      <c r="D12" s="81"/>
      <c r="E12" s="81"/>
      <c r="F12" s="81"/>
      <c r="G12" s="81">
        <f>'Cash Flow Statement'!L35</f>
        <v>-25000</v>
      </c>
      <c r="H12" s="81">
        <f>'Cash Flow Statement'!M35</f>
        <v>-20000</v>
      </c>
      <c r="I12" s="81">
        <f>'Cash Flow Statement'!N35</f>
        <v>-16000</v>
      </c>
      <c r="J12" s="81">
        <f>'Cash Flow Statement'!O35</f>
        <v>-16000</v>
      </c>
      <c r="K12" s="81">
        <f>'Cash Flow Statement'!P35</f>
        <v>-14000</v>
      </c>
      <c r="L12" s="277"/>
      <c r="M12" s="277"/>
      <c r="N12" s="80"/>
      <c r="O12" s="80"/>
      <c r="P12" s="80"/>
    </row>
    <row r="13" spans="1:16" ht="12.75" customHeight="1" x14ac:dyDescent="0.2">
      <c r="A13" s="79"/>
      <c r="B13" s="80" t="s">
        <v>112</v>
      </c>
      <c r="C13" s="80"/>
      <c r="D13" s="82"/>
      <c r="E13" s="82"/>
      <c r="F13" s="82"/>
      <c r="G13" s="82">
        <f>-G7*'Income Statement'!L56</f>
        <v>-740.52739066774757</v>
      </c>
      <c r="H13" s="82">
        <f>-H7*'Income Statement'!M56</f>
        <v>-1754.5227201676071</v>
      </c>
      <c r="I13" s="82">
        <f>-I7*'Income Statement'!N56</f>
        <v>-2499.4291447851301</v>
      </c>
      <c r="J13" s="82">
        <f>-J7*'Income Statement'!O56</f>
        <v>-4147.9827621028808</v>
      </c>
      <c r="K13" s="82">
        <f>-K7*'Income Statement'!P56</f>
        <v>-5715.9289477410412</v>
      </c>
      <c r="L13" s="277"/>
      <c r="M13" s="277"/>
      <c r="N13" s="80"/>
      <c r="O13" s="80"/>
      <c r="P13" s="80"/>
    </row>
    <row r="14" spans="1:16" s="84" customFormat="1" ht="12.75" customHeight="1" x14ac:dyDescent="0.2">
      <c r="A14" s="79" t="s">
        <v>113</v>
      </c>
      <c r="B14" s="79"/>
      <c r="C14" s="79"/>
      <c r="D14" s="83"/>
      <c r="E14" s="83"/>
      <c r="F14" s="83"/>
      <c r="G14" s="83">
        <f>SUM(G7:G13)</f>
        <v>6100.9759816212745</v>
      </c>
      <c r="H14" s="83">
        <f t="shared" ref="H14:K14" si="1">SUM(H7:H13)</f>
        <v>11609.947996256717</v>
      </c>
      <c r="I14" s="83">
        <f t="shared" si="1"/>
        <v>19913.867321682716</v>
      </c>
      <c r="J14" s="83">
        <f t="shared" si="1"/>
        <v>11845.366766224754</v>
      </c>
      <c r="K14" s="83">
        <f t="shared" si="1"/>
        <v>15667.271391878341</v>
      </c>
      <c r="L14" s="277"/>
      <c r="M14" s="277"/>
      <c r="N14" s="79"/>
      <c r="O14" s="79"/>
      <c r="P14" s="79"/>
    </row>
    <row r="15" spans="1:16" ht="21" customHeight="1" x14ac:dyDescent="0.2">
      <c r="A15" s="79" t="s">
        <v>114</v>
      </c>
      <c r="B15" s="79"/>
      <c r="C15" s="80"/>
      <c r="D15" s="80"/>
      <c r="E15" s="80"/>
      <c r="F15" s="80"/>
      <c r="G15" s="81"/>
      <c r="H15" s="81"/>
      <c r="I15" s="81"/>
      <c r="J15" s="81"/>
      <c r="K15" s="81"/>
      <c r="L15" s="277"/>
      <c r="M15" s="277"/>
      <c r="N15" s="80"/>
      <c r="O15" s="80"/>
      <c r="P15" s="80"/>
    </row>
    <row r="16" spans="1:16" ht="13.5" thickBot="1" x14ac:dyDescent="0.25">
      <c r="A16" s="79"/>
      <c r="B16" s="80" t="s">
        <v>115</v>
      </c>
      <c r="C16" s="80"/>
      <c r="D16" s="80"/>
      <c r="E16" s="80"/>
      <c r="F16" s="85"/>
      <c r="G16" s="121">
        <v>1</v>
      </c>
      <c r="H16" s="121">
        <v>2</v>
      </c>
      <c r="I16" s="121">
        <v>3</v>
      </c>
      <c r="J16" s="121">
        <v>4</v>
      </c>
      <c r="K16" s="121">
        <v>5</v>
      </c>
      <c r="L16" s="277"/>
      <c r="M16" s="277"/>
      <c r="N16" s="80"/>
      <c r="O16" s="80"/>
      <c r="P16" s="80"/>
    </row>
    <row r="17" spans="1:16" ht="13.5" thickBot="1" x14ac:dyDescent="0.25">
      <c r="A17" s="79"/>
      <c r="B17" s="80" t="s">
        <v>116</v>
      </c>
      <c r="C17" s="80"/>
      <c r="D17" s="80"/>
      <c r="E17" s="80"/>
      <c r="F17" s="125">
        <f>L27</f>
        <v>0.11500993825024412</v>
      </c>
      <c r="G17" s="81">
        <f>G14/(1+$F$17)^G16</f>
        <v>5471.6785674532875</v>
      </c>
      <c r="H17" s="81">
        <f t="shared" ref="H17:K17" si="2">H14/(1+$F$17)^H16</f>
        <v>9338.406993726252</v>
      </c>
      <c r="I17" s="81">
        <f t="shared" si="2"/>
        <v>14365.455272041354</v>
      </c>
      <c r="J17" s="81">
        <f t="shared" si="2"/>
        <v>7663.6128847274731</v>
      </c>
      <c r="K17" s="81">
        <f t="shared" si="2"/>
        <v>9090.7491657930059</v>
      </c>
      <c r="L17" s="277"/>
      <c r="M17" s="277"/>
      <c r="N17" s="80"/>
      <c r="O17" s="80"/>
      <c r="P17" s="80"/>
    </row>
    <row r="18" spans="1:16" ht="12.75" x14ac:dyDescent="0.2">
      <c r="A18" s="79"/>
      <c r="B18" s="79" t="s">
        <v>117</v>
      </c>
      <c r="C18" s="80"/>
      <c r="D18" s="80"/>
      <c r="E18" s="80"/>
      <c r="F18" s="85"/>
      <c r="G18" s="83">
        <f>SUM(G17:K17)</f>
        <v>45929.902883741372</v>
      </c>
      <c r="H18" s="81"/>
      <c r="I18" s="81"/>
      <c r="J18" s="81"/>
      <c r="K18" s="81"/>
      <c r="L18" s="277"/>
      <c r="M18" s="277"/>
      <c r="N18" s="80"/>
      <c r="O18" s="80"/>
      <c r="P18" s="80"/>
    </row>
    <row r="19" spans="1:16" ht="21" customHeight="1" x14ac:dyDescent="0.2">
      <c r="A19" s="79"/>
      <c r="B19" s="79" t="s">
        <v>118</v>
      </c>
      <c r="C19" s="80"/>
      <c r="D19" s="80"/>
      <c r="E19" s="80"/>
      <c r="F19" s="85"/>
      <c r="G19" s="81"/>
      <c r="H19" s="81"/>
      <c r="I19" s="81"/>
      <c r="J19" s="81"/>
      <c r="K19" s="81"/>
      <c r="L19" s="277"/>
      <c r="M19" s="277"/>
      <c r="N19" s="80"/>
      <c r="O19" s="80"/>
      <c r="P19" s="80"/>
    </row>
    <row r="20" spans="1:16" x14ac:dyDescent="0.2">
      <c r="A20" s="79"/>
      <c r="B20" s="87" t="s">
        <v>119</v>
      </c>
      <c r="C20" s="88"/>
      <c r="D20" s="88"/>
      <c r="E20" s="88"/>
      <c r="F20" s="89"/>
      <c r="G20" s="81"/>
      <c r="H20" s="81"/>
      <c r="I20" s="81"/>
      <c r="J20" s="87" t="s">
        <v>120</v>
      </c>
      <c r="K20" s="90"/>
      <c r="L20" s="90"/>
      <c r="M20" s="90"/>
      <c r="N20" s="90"/>
      <c r="O20" s="91"/>
      <c r="P20" s="279"/>
    </row>
    <row r="21" spans="1:16" ht="12.75" thickBot="1" x14ac:dyDescent="0.25">
      <c r="A21" s="79"/>
      <c r="B21" s="92"/>
      <c r="C21" s="93" t="s">
        <v>121</v>
      </c>
      <c r="D21" s="80"/>
      <c r="E21" s="80"/>
      <c r="F21" s="94">
        <f>K7+K8</f>
        <v>34911.407710698812</v>
      </c>
      <c r="G21" s="80"/>
      <c r="H21" s="81"/>
      <c r="I21" s="80"/>
      <c r="J21" s="95" t="s">
        <v>122</v>
      </c>
      <c r="K21" s="80"/>
      <c r="L21" s="122">
        <v>4.505E-2</v>
      </c>
      <c r="M21" s="96" t="s">
        <v>366</v>
      </c>
      <c r="N21" s="80"/>
      <c r="O21" s="105">
        <f>'Balance Sheet'!J30+'Balance Sheet'!J33</f>
        <v>8376</v>
      </c>
      <c r="P21" s="80"/>
    </row>
    <row r="22" spans="1:16" ht="12.75" thickBot="1" x14ac:dyDescent="0.25">
      <c r="A22" s="79"/>
      <c r="B22" s="92"/>
      <c r="C22" s="93" t="s">
        <v>123</v>
      </c>
      <c r="D22" s="80"/>
      <c r="E22" s="80"/>
      <c r="F22" s="97">
        <f>(O21+O24-'Balance Sheet'!J8)/'Income Statement'!K42</f>
        <v>135.28319527753976</v>
      </c>
      <c r="G22" s="81"/>
      <c r="H22" s="81"/>
      <c r="I22" s="80"/>
      <c r="J22" s="95" t="s">
        <v>124</v>
      </c>
      <c r="K22" s="80"/>
      <c r="L22" s="276">
        <v>5.0299999999999997E-2</v>
      </c>
      <c r="M22" s="95" t="s">
        <v>125</v>
      </c>
      <c r="N22" s="80"/>
      <c r="O22" s="124">
        <v>405.05</v>
      </c>
      <c r="P22" s="80"/>
    </row>
    <row r="23" spans="1:16" x14ac:dyDescent="0.2">
      <c r="A23" s="79"/>
      <c r="B23" s="92"/>
      <c r="C23" s="93" t="s">
        <v>118</v>
      </c>
      <c r="D23" s="80"/>
      <c r="E23" s="80"/>
      <c r="F23" s="98">
        <f>F22*F21</f>
        <v>4722926.7867402751</v>
      </c>
      <c r="G23" s="81"/>
      <c r="H23" s="81"/>
      <c r="I23" s="80"/>
      <c r="J23" s="95" t="s">
        <v>126</v>
      </c>
      <c r="K23" s="80"/>
      <c r="L23" s="123">
        <v>1.4</v>
      </c>
      <c r="M23" s="95" t="s">
        <v>127</v>
      </c>
      <c r="N23" s="80"/>
      <c r="O23" s="99">
        <f>'Income Statement'!K74</f>
        <v>3528</v>
      </c>
      <c r="P23" s="80"/>
    </row>
    <row r="24" spans="1:16" x14ac:dyDescent="0.2">
      <c r="A24" s="79"/>
      <c r="B24" s="100"/>
      <c r="C24" s="101" t="s">
        <v>128</v>
      </c>
      <c r="D24" s="102"/>
      <c r="E24" s="102"/>
      <c r="F24" s="103">
        <f>F23/(1+F17)^K16</f>
        <v>2740422.4815380024</v>
      </c>
      <c r="G24" s="83"/>
      <c r="H24" s="81"/>
      <c r="I24" s="80"/>
      <c r="J24" s="96" t="s">
        <v>129</v>
      </c>
      <c r="K24" s="80"/>
      <c r="L24" s="104">
        <f>L22*L23+L21</f>
        <v>0.11546999999999999</v>
      </c>
      <c r="M24" s="96" t="s">
        <v>130</v>
      </c>
      <c r="N24" s="80"/>
      <c r="O24" s="81">
        <f>O22*O23</f>
        <v>1429016.4000000001</v>
      </c>
      <c r="P24" s="80"/>
    </row>
    <row r="25" spans="1:16" x14ac:dyDescent="0.2">
      <c r="A25" s="80"/>
      <c r="B25" s="87" t="s">
        <v>131</v>
      </c>
      <c r="C25" s="88"/>
      <c r="D25" s="88"/>
      <c r="E25" s="88"/>
      <c r="F25" s="89"/>
      <c r="G25" s="81"/>
      <c r="H25" s="81"/>
      <c r="I25" s="80"/>
      <c r="J25" s="96" t="s">
        <v>132</v>
      </c>
      <c r="K25" s="80"/>
      <c r="L25" s="122">
        <v>0.05</v>
      </c>
      <c r="M25" s="92"/>
      <c r="N25" s="80"/>
      <c r="O25" s="106"/>
      <c r="P25" s="80"/>
    </row>
    <row r="26" spans="1:16" ht="12.75" thickBot="1" x14ac:dyDescent="0.25">
      <c r="A26" s="80"/>
      <c r="B26" s="107"/>
      <c r="C26" s="108" t="s">
        <v>106</v>
      </c>
      <c r="D26" s="109"/>
      <c r="E26" s="109"/>
      <c r="F26" s="110">
        <f>K14</f>
        <v>15667.271391878341</v>
      </c>
      <c r="G26" s="80"/>
      <c r="H26" s="81"/>
      <c r="I26" s="80"/>
      <c r="J26" s="92"/>
      <c r="K26" s="80"/>
      <c r="L26" s="80"/>
      <c r="M26" s="92"/>
      <c r="N26" s="80"/>
      <c r="O26" s="106"/>
      <c r="P26" s="80"/>
    </row>
    <row r="27" spans="1:16" ht="12.75" thickBot="1" x14ac:dyDescent="0.25">
      <c r="A27" s="80"/>
      <c r="B27" s="92"/>
      <c r="C27" s="93" t="s">
        <v>133</v>
      </c>
      <c r="D27" s="80"/>
      <c r="E27" s="80"/>
      <c r="F27" s="464">
        <v>2.5000000000000001E-2</v>
      </c>
      <c r="G27" s="81"/>
      <c r="H27" s="81"/>
      <c r="I27" s="80"/>
      <c r="J27" s="111" t="s">
        <v>134</v>
      </c>
      <c r="K27" s="102"/>
      <c r="L27" s="112">
        <f>O24/(O24+O21)*L24+O21/(O21+O24)*L25*(1-'Income Statement'!K56)</f>
        <v>0.11500993825024412</v>
      </c>
      <c r="M27" s="100"/>
      <c r="N27" s="102"/>
      <c r="O27" s="113"/>
      <c r="P27" s="80"/>
    </row>
    <row r="28" spans="1:16" ht="12.75" x14ac:dyDescent="0.2">
      <c r="A28" s="80"/>
      <c r="B28" s="92"/>
      <c r="C28" s="93" t="s">
        <v>118</v>
      </c>
      <c r="D28" s="80"/>
      <c r="E28" s="80"/>
      <c r="F28" s="126">
        <f>F26*(1+F27)/(F17-F27)</f>
        <v>178413.1118058149</v>
      </c>
      <c r="G28" s="114"/>
      <c r="H28" s="81"/>
      <c r="I28" s="80"/>
      <c r="J28" s="80"/>
      <c r="K28" s="80"/>
      <c r="L28" s="80"/>
      <c r="M28" s="80"/>
      <c r="N28" s="80"/>
      <c r="O28" s="80"/>
      <c r="P28" s="80"/>
    </row>
    <row r="29" spans="1:16" x14ac:dyDescent="0.2">
      <c r="A29" s="80"/>
      <c r="B29" s="100"/>
      <c r="C29" s="101" t="s">
        <v>128</v>
      </c>
      <c r="D29" s="102"/>
      <c r="E29" s="102"/>
      <c r="F29" s="115">
        <f>F28/(1+F17)^K16</f>
        <v>103522.10073772114</v>
      </c>
      <c r="G29" s="83"/>
      <c r="H29" s="81"/>
      <c r="I29" s="80"/>
      <c r="J29" s="80"/>
      <c r="K29" s="80"/>
      <c r="L29" s="80"/>
      <c r="M29" s="80"/>
      <c r="N29" s="80"/>
      <c r="O29" s="80"/>
      <c r="P29" s="80"/>
    </row>
    <row r="30" spans="1:16" s="80" customFormat="1" ht="9.75" customHeight="1" x14ac:dyDescent="0.2"/>
    <row r="31" spans="1:16" x14ac:dyDescent="0.2">
      <c r="A31" s="80"/>
      <c r="B31" s="87" t="s">
        <v>135</v>
      </c>
      <c r="C31" s="88"/>
      <c r="D31" s="88"/>
      <c r="E31" s="116" t="s">
        <v>136</v>
      </c>
      <c r="F31" s="117" t="s">
        <v>131</v>
      </c>
      <c r="G31" s="81"/>
      <c r="H31" s="81"/>
      <c r="I31" s="80"/>
      <c r="J31" s="80"/>
      <c r="K31" s="80"/>
      <c r="L31" s="80"/>
      <c r="M31" s="80"/>
      <c r="N31" s="80"/>
      <c r="O31" s="80"/>
      <c r="P31" s="80"/>
    </row>
    <row r="32" spans="1:16" x14ac:dyDescent="0.2">
      <c r="A32" s="80"/>
      <c r="B32" s="92" t="s">
        <v>137</v>
      </c>
      <c r="C32" s="80"/>
      <c r="D32" s="80"/>
      <c r="E32" s="81">
        <f>G18</f>
        <v>45929.902883741372</v>
      </c>
      <c r="F32" s="94">
        <f>G18</f>
        <v>45929.902883741372</v>
      </c>
      <c r="G32" s="80"/>
      <c r="H32" s="80"/>
      <c r="I32" s="80"/>
      <c r="J32" s="80"/>
      <c r="K32" s="80"/>
      <c r="L32" s="80"/>
      <c r="M32" s="80"/>
      <c r="N32" s="80"/>
      <c r="O32" s="80"/>
      <c r="P32" s="80"/>
    </row>
    <row r="33" spans="1:16" x14ac:dyDescent="0.2">
      <c r="A33" s="80"/>
      <c r="B33" s="92" t="s">
        <v>138</v>
      </c>
      <c r="C33" s="80"/>
      <c r="D33" s="80"/>
      <c r="E33" s="118">
        <f>F24</f>
        <v>2740422.4815380024</v>
      </c>
      <c r="F33" s="94">
        <f>F29</f>
        <v>103522.10073772114</v>
      </c>
      <c r="G33" s="80"/>
      <c r="H33" s="80"/>
      <c r="I33" s="80"/>
      <c r="J33" s="80"/>
      <c r="K33" s="80"/>
      <c r="L33" s="80"/>
      <c r="M33" s="80"/>
      <c r="N33" s="278"/>
      <c r="O33" s="278"/>
      <c r="P33" s="278"/>
    </row>
    <row r="34" spans="1:16" x14ac:dyDescent="0.2">
      <c r="A34" s="80"/>
      <c r="B34" s="96" t="s">
        <v>139</v>
      </c>
      <c r="C34" s="80"/>
      <c r="D34" s="80"/>
      <c r="E34" s="83">
        <f>E32+E33</f>
        <v>2786352.3844217439</v>
      </c>
      <c r="F34" s="119">
        <f>F32+F33</f>
        <v>149452.0036214625</v>
      </c>
      <c r="G34" s="80"/>
      <c r="H34" s="80"/>
      <c r="I34" s="80"/>
      <c r="J34" s="80"/>
      <c r="K34" s="80"/>
      <c r="L34" s="80"/>
      <c r="M34" s="80"/>
      <c r="N34" s="80"/>
      <c r="O34" s="80"/>
      <c r="P34" s="80"/>
    </row>
    <row r="35" spans="1:16" x14ac:dyDescent="0.2">
      <c r="A35" s="80"/>
      <c r="B35" s="92" t="s">
        <v>140</v>
      </c>
      <c r="C35" s="80"/>
      <c r="D35" s="80"/>
      <c r="E35" s="81">
        <f>O21-'Balance Sheet'!J8-'Balance Sheet'!J9</f>
        <v>-35683</v>
      </c>
      <c r="F35" s="94">
        <f>E35</f>
        <v>-35683</v>
      </c>
      <c r="G35" s="80"/>
      <c r="H35" s="80"/>
      <c r="I35" s="80"/>
      <c r="J35" s="80"/>
      <c r="K35" s="80"/>
      <c r="L35" s="80"/>
      <c r="M35" s="80"/>
      <c r="N35" s="80"/>
      <c r="O35" s="80"/>
      <c r="P35" s="80"/>
    </row>
    <row r="36" spans="1:16" x14ac:dyDescent="0.2">
      <c r="A36" s="80"/>
      <c r="B36" s="96" t="s">
        <v>130</v>
      </c>
      <c r="C36" s="79"/>
      <c r="D36" s="79"/>
      <c r="E36" s="83">
        <f>E34-E35</f>
        <v>2822035.3844217439</v>
      </c>
      <c r="F36" s="119">
        <f>F34-F35</f>
        <v>185135.0036214625</v>
      </c>
      <c r="G36" s="80"/>
      <c r="H36" s="80"/>
      <c r="I36" s="80"/>
      <c r="J36" s="80"/>
      <c r="K36" s="80"/>
      <c r="L36" s="80"/>
      <c r="M36" s="80"/>
      <c r="N36" s="80"/>
      <c r="O36" s="80"/>
      <c r="P36" s="80"/>
    </row>
    <row r="37" spans="1:16" x14ac:dyDescent="0.2">
      <c r="A37" s="80"/>
      <c r="B37" s="92" t="s">
        <v>141</v>
      </c>
      <c r="C37" s="80"/>
      <c r="D37" s="80"/>
      <c r="E37" s="81">
        <f>O23</f>
        <v>3528</v>
      </c>
      <c r="F37" s="94">
        <f>O23</f>
        <v>3528</v>
      </c>
      <c r="G37" s="80"/>
      <c r="H37" s="80"/>
      <c r="I37" s="80"/>
      <c r="J37" s="80"/>
      <c r="K37" s="80"/>
      <c r="L37" s="80"/>
      <c r="M37" s="80"/>
      <c r="N37" s="279"/>
      <c r="O37" s="279"/>
      <c r="P37" s="279"/>
    </row>
    <row r="38" spans="1:16" x14ac:dyDescent="0.2">
      <c r="B38" s="111" t="s">
        <v>142</v>
      </c>
      <c r="C38" s="120"/>
      <c r="D38" s="120"/>
      <c r="E38" s="463">
        <f>E36/E37</f>
        <v>799.89665091319273</v>
      </c>
      <c r="F38" s="465">
        <f>F36/F37</f>
        <v>52.475908055970095</v>
      </c>
      <c r="G38" s="80"/>
      <c r="H38" s="80"/>
      <c r="I38" s="80"/>
      <c r="J38" s="80"/>
      <c r="K38" s="80"/>
      <c r="L38" s="80"/>
      <c r="M38" s="80"/>
      <c r="N38" s="80"/>
      <c r="O38" s="80"/>
      <c r="P38" s="80"/>
    </row>
    <row r="39" spans="1:16" x14ac:dyDescent="0.2">
      <c r="A39" s="80"/>
      <c r="B39" s="80"/>
      <c r="C39" s="80"/>
      <c r="D39" s="80"/>
      <c r="E39" s="80"/>
      <c r="F39" s="80"/>
      <c r="G39" s="80"/>
      <c r="H39" s="80"/>
      <c r="I39" s="80"/>
      <c r="J39" s="80"/>
      <c r="K39" s="80"/>
      <c r="L39" s="80"/>
      <c r="M39" s="80"/>
      <c r="N39" s="80"/>
      <c r="O39" s="80"/>
      <c r="P39" s="80"/>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A1:R35"/>
  <sheetViews>
    <sheetView workbookViewId="0"/>
  </sheetViews>
  <sheetFormatPr defaultRowHeight="12" x14ac:dyDescent="0.2"/>
  <cols>
    <col min="1" max="1" width="1.5703125" style="60" customWidth="1"/>
    <col min="2" max="2" width="26.140625" style="60" customWidth="1"/>
    <col min="3" max="3" width="9.85546875" style="86" bestFit="1" customWidth="1"/>
    <col min="4" max="4" width="12.140625" style="86" customWidth="1"/>
    <col min="5" max="5" width="9.5703125" style="60" bestFit="1" customWidth="1"/>
    <col min="6" max="6" width="9.140625" style="60" bestFit="1"/>
    <col min="7" max="7" width="8.140625" style="60" customWidth="1"/>
    <col min="8" max="8" width="8.5703125" style="60" bestFit="1" customWidth="1"/>
    <col min="9" max="9" width="8.28515625" style="60" bestFit="1" customWidth="1"/>
    <col min="10" max="10" width="7.42578125" style="60" bestFit="1" customWidth="1"/>
    <col min="11" max="11" width="8.140625" style="60" bestFit="1" customWidth="1"/>
    <col min="12" max="15" width="7.85546875" style="60" bestFit="1" customWidth="1"/>
    <col min="16" max="16" width="7.140625" style="60" customWidth="1"/>
    <col min="17" max="17" width="8.140625" style="60" bestFit="1" customWidth="1"/>
    <col min="18" max="16384" width="9.140625" style="60"/>
  </cols>
  <sheetData>
    <row r="1" spans="1:18" ht="29.85" customHeight="1" x14ac:dyDescent="0.2">
      <c r="A1" s="58"/>
      <c r="B1" s="58"/>
      <c r="C1" s="59"/>
      <c r="D1" s="59"/>
      <c r="E1" s="58"/>
      <c r="F1" s="58"/>
      <c r="G1" s="58"/>
      <c r="H1" s="58"/>
      <c r="I1" s="58"/>
      <c r="J1" s="58"/>
      <c r="K1" s="58"/>
      <c r="L1" s="58"/>
      <c r="M1" s="58"/>
      <c r="N1" s="58"/>
      <c r="O1" s="58"/>
      <c r="P1" s="58"/>
    </row>
    <row r="2" spans="1:18" ht="13.5" customHeight="1" x14ac:dyDescent="0.2">
      <c r="A2" s="127" t="s">
        <v>143</v>
      </c>
      <c r="B2" s="61"/>
      <c r="C2" s="63"/>
      <c r="D2" s="63"/>
      <c r="E2" s="61"/>
      <c r="F2" s="61"/>
      <c r="G2" s="61"/>
      <c r="H2" s="61"/>
      <c r="I2" s="61"/>
      <c r="J2" s="61"/>
      <c r="K2" s="61"/>
      <c r="L2" s="61"/>
      <c r="M2" s="61"/>
      <c r="N2" s="61"/>
      <c r="O2" s="61"/>
      <c r="P2" s="61"/>
      <c r="Q2" s="128"/>
    </row>
    <row r="3" spans="1:18" ht="12" customHeight="1" x14ac:dyDescent="0.2">
      <c r="A3" s="64" t="s">
        <v>211</v>
      </c>
      <c r="B3" s="66"/>
      <c r="C3" s="129"/>
      <c r="D3" s="129"/>
      <c r="E3" s="129"/>
      <c r="F3" s="129"/>
      <c r="G3" s="130"/>
      <c r="H3" s="130"/>
      <c r="I3" s="130"/>
      <c r="J3" s="130"/>
      <c r="K3" s="130"/>
      <c r="L3" s="130"/>
      <c r="M3" s="130"/>
      <c r="N3" s="130"/>
      <c r="O3" s="130"/>
      <c r="P3" s="130"/>
      <c r="Q3" s="131"/>
    </row>
    <row r="4" spans="1:18" ht="12" customHeight="1" x14ac:dyDescent="0.2">
      <c r="A4" s="132"/>
      <c r="B4" s="66"/>
      <c r="C4" s="454" t="s">
        <v>144</v>
      </c>
      <c r="D4" s="457" t="s">
        <v>145</v>
      </c>
      <c r="E4" s="133" t="s">
        <v>146</v>
      </c>
      <c r="F4" s="134" t="s">
        <v>147</v>
      </c>
      <c r="G4" s="135"/>
      <c r="H4" s="136"/>
      <c r="I4" s="137" t="s">
        <v>148</v>
      </c>
      <c r="J4" s="138"/>
      <c r="K4" s="139"/>
      <c r="L4" s="137" t="s">
        <v>149</v>
      </c>
      <c r="M4" s="138"/>
      <c r="N4" s="139"/>
      <c r="O4" s="137" t="s">
        <v>150</v>
      </c>
      <c r="P4" s="138"/>
      <c r="Q4" s="140"/>
    </row>
    <row r="5" spans="1:18" ht="12" customHeight="1" x14ac:dyDescent="0.2">
      <c r="A5" s="141"/>
      <c r="B5" s="142"/>
      <c r="C5" s="455"/>
      <c r="D5" s="458"/>
      <c r="E5" s="143" t="s">
        <v>151</v>
      </c>
      <c r="F5" s="144" t="str">
        <f t="shared" ref="F5:K5" si="0">C25</f>
        <v>20A</v>
      </c>
      <c r="G5" s="145" t="str">
        <f t="shared" si="0"/>
        <v>LTM</v>
      </c>
      <c r="H5" s="146" t="str">
        <f t="shared" si="0"/>
        <v>21E</v>
      </c>
      <c r="I5" s="147" t="str">
        <f t="shared" si="0"/>
        <v>20A</v>
      </c>
      <c r="J5" s="145" t="str">
        <f t="shared" si="0"/>
        <v>LTM</v>
      </c>
      <c r="K5" s="148" t="str">
        <f t="shared" si="0"/>
        <v>21E</v>
      </c>
      <c r="L5" s="147" t="str">
        <f>I5</f>
        <v>20A</v>
      </c>
      <c r="M5" s="145" t="str">
        <f>J5</f>
        <v>LTM</v>
      </c>
      <c r="N5" s="149" t="str">
        <f>K5</f>
        <v>21E</v>
      </c>
      <c r="O5" s="147" t="str">
        <f>I25</f>
        <v>20A</v>
      </c>
      <c r="P5" s="145" t="str">
        <f>J25</f>
        <v>LTM</v>
      </c>
      <c r="Q5" s="146" t="str">
        <f>K25</f>
        <v>21E</v>
      </c>
    </row>
    <row r="6" spans="1:18" ht="12" customHeight="1" x14ac:dyDescent="0.2">
      <c r="A6" s="150"/>
      <c r="B6" s="75" t="s">
        <v>152</v>
      </c>
      <c r="C6" s="456"/>
      <c r="D6" s="459"/>
      <c r="E6" s="151" t="s">
        <v>153</v>
      </c>
      <c r="F6" s="152" t="s">
        <v>154</v>
      </c>
      <c r="G6" s="153" t="s">
        <v>154</v>
      </c>
      <c r="H6" s="154" t="s">
        <v>154</v>
      </c>
      <c r="I6" s="152" t="s">
        <v>154</v>
      </c>
      <c r="J6" s="153" t="s">
        <v>154</v>
      </c>
      <c r="K6" s="154" t="s">
        <v>154</v>
      </c>
      <c r="L6" s="152" t="s">
        <v>154</v>
      </c>
      <c r="M6" s="153" t="s">
        <v>154</v>
      </c>
      <c r="N6" s="154" t="s">
        <v>154</v>
      </c>
      <c r="O6" s="152" t="s">
        <v>154</v>
      </c>
      <c r="P6" s="153" t="s">
        <v>154</v>
      </c>
      <c r="Q6" s="154" t="s">
        <v>154</v>
      </c>
    </row>
    <row r="7" spans="1:18" s="58" customFormat="1" ht="20.100000000000001" customHeight="1" x14ac:dyDescent="0.2">
      <c r="A7" s="155"/>
      <c r="B7" s="156" t="s">
        <v>181</v>
      </c>
      <c r="C7" s="157" t="e">
        <f>#REF!</f>
        <v>#REF!</v>
      </c>
      <c r="D7" s="158" t="e">
        <f>#REF!</f>
        <v>#REF!</v>
      </c>
      <c r="E7" s="158" t="e">
        <f>#REF!</f>
        <v>#REF!</v>
      </c>
      <c r="F7" s="159" t="e">
        <f>$C7/L27</f>
        <v>#REF!</v>
      </c>
      <c r="G7" s="159" t="e">
        <f>$C7/M27</f>
        <v>#REF!</v>
      </c>
      <c r="H7" s="159" t="e">
        <f>$C7/N27</f>
        <v>#REF!</v>
      </c>
      <c r="I7" s="159" t="e">
        <f t="shared" ref="I7:Q7" si="1">$E7/C27</f>
        <v>#REF!</v>
      </c>
      <c r="J7" s="159" t="e">
        <f t="shared" si="1"/>
        <v>#REF!</v>
      </c>
      <c r="K7" s="159" t="e">
        <f t="shared" si="1"/>
        <v>#REF!</v>
      </c>
      <c r="L7" s="159" t="e">
        <f t="shared" si="1"/>
        <v>#REF!</v>
      </c>
      <c r="M7" s="159" t="e">
        <f t="shared" si="1"/>
        <v>#REF!</v>
      </c>
      <c r="N7" s="159" t="e">
        <f t="shared" si="1"/>
        <v>#REF!</v>
      </c>
      <c r="O7" s="159" t="e">
        <f t="shared" si="1"/>
        <v>#REF!</v>
      </c>
      <c r="P7" s="159" t="e">
        <f t="shared" si="1"/>
        <v>#REF!</v>
      </c>
      <c r="Q7" s="160" t="e">
        <f t="shared" si="1"/>
        <v>#REF!</v>
      </c>
    </row>
    <row r="8" spans="1:18" s="58" customFormat="1" ht="20.100000000000001" customHeight="1" x14ac:dyDescent="0.2">
      <c r="A8" s="266"/>
      <c r="B8" s="267" t="s">
        <v>212</v>
      </c>
      <c r="C8" s="268"/>
      <c r="D8" s="269"/>
      <c r="E8" s="269"/>
      <c r="F8" s="270"/>
      <c r="G8" s="270"/>
      <c r="H8" s="270"/>
      <c r="I8" s="270"/>
      <c r="J8" s="270"/>
      <c r="K8" s="270"/>
      <c r="L8" s="270"/>
      <c r="M8" s="270"/>
      <c r="N8" s="270"/>
      <c r="O8" s="270"/>
      <c r="P8" s="270"/>
      <c r="Q8" s="271"/>
    </row>
    <row r="9" spans="1:18" s="58" customFormat="1" ht="20.100000000000001" customHeight="1" x14ac:dyDescent="0.2">
      <c r="A9" s="161"/>
      <c r="B9" s="274" t="s">
        <v>195</v>
      </c>
      <c r="C9" s="162" t="e">
        <f>#REF!</f>
        <v>#REF!</v>
      </c>
      <c r="D9" s="163" t="e">
        <f>#REF!</f>
        <v>#REF!</v>
      </c>
      <c r="E9" s="163" t="e">
        <f>#REF!</f>
        <v>#REF!</v>
      </c>
      <c r="F9" s="164" t="e">
        <f t="shared" ref="F9:H13" si="2">$C9/L28</f>
        <v>#REF!</v>
      </c>
      <c r="G9" s="164" t="e">
        <f t="shared" si="2"/>
        <v>#REF!</v>
      </c>
      <c r="H9" s="164" t="e">
        <f t="shared" si="2"/>
        <v>#REF!</v>
      </c>
      <c r="I9" s="164" t="e">
        <f t="shared" ref="I9:Q9" si="3">$E9/C28</f>
        <v>#REF!</v>
      </c>
      <c r="J9" s="164" t="e">
        <f t="shared" si="3"/>
        <v>#REF!</v>
      </c>
      <c r="K9" s="164" t="e">
        <f t="shared" si="3"/>
        <v>#REF!</v>
      </c>
      <c r="L9" s="164" t="e">
        <f t="shared" si="3"/>
        <v>#REF!</v>
      </c>
      <c r="M9" s="164" t="e">
        <f t="shared" si="3"/>
        <v>#REF!</v>
      </c>
      <c r="N9" s="164" t="e">
        <f t="shared" si="3"/>
        <v>#REF!</v>
      </c>
      <c r="O9" s="164" t="e">
        <f t="shared" si="3"/>
        <v>#REF!</v>
      </c>
      <c r="P9" s="164" t="e">
        <f t="shared" si="3"/>
        <v>#REF!</v>
      </c>
      <c r="Q9" s="165" t="e">
        <f t="shared" si="3"/>
        <v>#REF!</v>
      </c>
    </row>
    <row r="10" spans="1:18" s="58" customFormat="1" ht="20.100000000000001" customHeight="1" x14ac:dyDescent="0.2">
      <c r="A10" s="161"/>
      <c r="B10" s="274" t="s">
        <v>196</v>
      </c>
      <c r="C10" s="162" t="e">
        <f>#REF!</f>
        <v>#REF!</v>
      </c>
      <c r="D10" s="163" t="e">
        <f>#REF!</f>
        <v>#REF!</v>
      </c>
      <c r="E10" s="163" t="e">
        <f>#REF!</f>
        <v>#REF!</v>
      </c>
      <c r="F10" s="164" t="e">
        <f t="shared" si="2"/>
        <v>#REF!</v>
      </c>
      <c r="G10" s="164" t="e">
        <f t="shared" si="2"/>
        <v>#REF!</v>
      </c>
      <c r="H10" s="164" t="e">
        <f t="shared" si="2"/>
        <v>#REF!</v>
      </c>
      <c r="I10" s="164" t="e">
        <f t="shared" ref="I10:Q13" si="4">$E10/C29</f>
        <v>#REF!</v>
      </c>
      <c r="J10" s="164" t="e">
        <f t="shared" si="4"/>
        <v>#REF!</v>
      </c>
      <c r="K10" s="164" t="e">
        <f t="shared" si="4"/>
        <v>#REF!</v>
      </c>
      <c r="L10" s="164" t="e">
        <f t="shared" si="4"/>
        <v>#REF!</v>
      </c>
      <c r="M10" s="164" t="e">
        <f t="shared" si="4"/>
        <v>#REF!</v>
      </c>
      <c r="N10" s="164" t="e">
        <f t="shared" si="4"/>
        <v>#REF!</v>
      </c>
      <c r="O10" s="164" t="e">
        <f t="shared" si="4"/>
        <v>#REF!</v>
      </c>
      <c r="P10" s="164" t="e">
        <f t="shared" si="4"/>
        <v>#REF!</v>
      </c>
      <c r="Q10" s="165" t="e">
        <f t="shared" si="4"/>
        <v>#REF!</v>
      </c>
    </row>
    <row r="11" spans="1:18" s="58" customFormat="1" ht="20.100000000000001" customHeight="1" x14ac:dyDescent="0.2">
      <c r="A11" s="161"/>
      <c r="B11" s="274" t="s">
        <v>164</v>
      </c>
      <c r="C11" s="162" t="e">
        <f>#REF!</f>
        <v>#REF!</v>
      </c>
      <c r="D11" s="163" t="e">
        <f>#REF!</f>
        <v>#REF!</v>
      </c>
      <c r="E11" s="163" t="e">
        <f>#REF!</f>
        <v>#REF!</v>
      </c>
      <c r="F11" s="164" t="e">
        <f t="shared" si="2"/>
        <v>#REF!</v>
      </c>
      <c r="G11" s="164" t="e">
        <f t="shared" si="2"/>
        <v>#REF!</v>
      </c>
      <c r="H11" s="164" t="e">
        <f t="shared" si="2"/>
        <v>#REF!</v>
      </c>
      <c r="I11" s="164" t="e">
        <f t="shared" si="4"/>
        <v>#REF!</v>
      </c>
      <c r="J11" s="164" t="e">
        <f t="shared" si="4"/>
        <v>#REF!</v>
      </c>
      <c r="K11" s="164" t="e">
        <f t="shared" si="4"/>
        <v>#REF!</v>
      </c>
      <c r="L11" s="164" t="e">
        <f t="shared" si="4"/>
        <v>#REF!</v>
      </c>
      <c r="M11" s="164" t="e">
        <f t="shared" si="4"/>
        <v>#REF!</v>
      </c>
      <c r="N11" s="164" t="e">
        <f t="shared" si="4"/>
        <v>#REF!</v>
      </c>
      <c r="O11" s="164" t="e">
        <f t="shared" si="4"/>
        <v>#REF!</v>
      </c>
      <c r="P11" s="164" t="e">
        <f t="shared" si="4"/>
        <v>#REF!</v>
      </c>
      <c r="Q11" s="165" t="e">
        <f t="shared" si="4"/>
        <v>#REF!</v>
      </c>
    </row>
    <row r="12" spans="1:18" s="58" customFormat="1" ht="20.100000000000001" customHeight="1" x14ac:dyDescent="0.2">
      <c r="A12" s="161"/>
      <c r="B12" s="274" t="s">
        <v>155</v>
      </c>
      <c r="C12" s="162" t="e">
        <f>#REF!</f>
        <v>#REF!</v>
      </c>
      <c r="D12" s="163" t="e">
        <f>#REF!</f>
        <v>#REF!</v>
      </c>
      <c r="E12" s="163" t="e">
        <f>#REF!</f>
        <v>#REF!</v>
      </c>
      <c r="F12" s="164" t="e">
        <f t="shared" si="2"/>
        <v>#REF!</v>
      </c>
      <c r="G12" s="164" t="e">
        <f t="shared" si="2"/>
        <v>#REF!</v>
      </c>
      <c r="H12" s="164" t="e">
        <f t="shared" si="2"/>
        <v>#REF!</v>
      </c>
      <c r="I12" s="164" t="e">
        <f t="shared" si="4"/>
        <v>#REF!</v>
      </c>
      <c r="J12" s="164" t="e">
        <f t="shared" si="4"/>
        <v>#REF!</v>
      </c>
      <c r="K12" s="164" t="e">
        <f t="shared" si="4"/>
        <v>#REF!</v>
      </c>
      <c r="L12" s="164" t="e">
        <f t="shared" si="4"/>
        <v>#REF!</v>
      </c>
      <c r="M12" s="164" t="e">
        <f t="shared" si="4"/>
        <v>#REF!</v>
      </c>
      <c r="N12" s="164" t="e">
        <f t="shared" si="4"/>
        <v>#REF!</v>
      </c>
      <c r="O12" s="164" t="e">
        <f t="shared" si="4"/>
        <v>#REF!</v>
      </c>
      <c r="P12" s="164" t="e">
        <f t="shared" si="4"/>
        <v>#REF!</v>
      </c>
      <c r="Q12" s="165" t="e">
        <f t="shared" si="4"/>
        <v>#REF!</v>
      </c>
    </row>
    <row r="13" spans="1:18" s="58" customFormat="1" ht="20.100000000000001" customHeight="1" x14ac:dyDescent="0.2">
      <c r="A13" s="161"/>
      <c r="B13" s="274" t="s">
        <v>194</v>
      </c>
      <c r="C13" s="162" t="e">
        <f>#REF!</f>
        <v>#REF!</v>
      </c>
      <c r="D13" s="163" t="e">
        <f>#REF!</f>
        <v>#REF!</v>
      </c>
      <c r="E13" s="163" t="e">
        <f>#REF!</f>
        <v>#REF!</v>
      </c>
      <c r="F13" s="164" t="e">
        <f t="shared" si="2"/>
        <v>#REF!</v>
      </c>
      <c r="G13" s="164" t="e">
        <f t="shared" si="2"/>
        <v>#REF!</v>
      </c>
      <c r="H13" s="164" t="e">
        <f t="shared" si="2"/>
        <v>#REF!</v>
      </c>
      <c r="I13" s="164" t="e">
        <f t="shared" si="4"/>
        <v>#REF!</v>
      </c>
      <c r="J13" s="164" t="e">
        <f t="shared" si="4"/>
        <v>#REF!</v>
      </c>
      <c r="K13" s="164" t="e">
        <f t="shared" si="4"/>
        <v>#REF!</v>
      </c>
      <c r="L13" s="164" t="e">
        <f t="shared" si="4"/>
        <v>#REF!</v>
      </c>
      <c r="M13" s="164" t="e">
        <f t="shared" si="4"/>
        <v>#REF!</v>
      </c>
      <c r="N13" s="164" t="e">
        <f t="shared" si="4"/>
        <v>#REF!</v>
      </c>
      <c r="O13" s="164" t="e">
        <f t="shared" si="4"/>
        <v>#REF!</v>
      </c>
      <c r="P13" s="164" t="e">
        <f t="shared" si="4"/>
        <v>#REF!</v>
      </c>
      <c r="Q13" s="165" t="e">
        <f t="shared" si="4"/>
        <v>#REF!</v>
      </c>
      <c r="R13" s="275"/>
    </row>
    <row r="14" spans="1:18" s="58" customFormat="1" ht="20.100000000000001" customHeight="1" x14ac:dyDescent="0.2">
      <c r="A14" s="266"/>
      <c r="B14" s="267" t="s">
        <v>213</v>
      </c>
      <c r="C14" s="268"/>
      <c r="D14" s="269"/>
      <c r="E14" s="269"/>
      <c r="F14" s="270"/>
      <c r="G14" s="270"/>
      <c r="H14" s="270"/>
      <c r="I14" s="270"/>
      <c r="J14" s="270"/>
      <c r="K14" s="270"/>
      <c r="L14" s="270"/>
      <c r="M14" s="270"/>
      <c r="N14" s="270"/>
      <c r="O14" s="270"/>
      <c r="P14" s="270"/>
      <c r="Q14" s="271"/>
    </row>
    <row r="15" spans="1:18" s="58" customFormat="1" ht="20.100000000000001" customHeight="1" x14ac:dyDescent="0.2">
      <c r="A15" s="166"/>
      <c r="B15" s="272" t="s">
        <v>197</v>
      </c>
      <c r="C15" s="168">
        <f>'GOOG Comp'!D49</f>
        <v>2527.37</v>
      </c>
      <c r="D15" s="169">
        <f>'GOOG Comp'!D59</f>
        <v>1831976.2581844099</v>
      </c>
      <c r="E15" s="169">
        <f>'GOOG Comp'!D67</f>
        <v>1710759.2581844099</v>
      </c>
      <c r="F15" s="164">
        <f>$C15/L33</f>
        <v>51.511627555684086</v>
      </c>
      <c r="G15" s="164">
        <f>$C15/M33</f>
        <v>43.266151903822653</v>
      </c>
      <c r="H15" s="164">
        <f>$C15/N33</f>
        <v>37.500359742026767</v>
      </c>
      <c r="I15" s="164">
        <f t="shared" ref="I15:Q17" si="5">$E15/C33</f>
        <v>9.3726366958554621</v>
      </c>
      <c r="J15" s="164">
        <f t="shared" si="5"/>
        <v>8.6980977323009228</v>
      </c>
      <c r="K15" s="164">
        <f t="shared" si="5"/>
        <v>6.8263923494941459</v>
      </c>
      <c r="L15" s="164">
        <f t="shared" si="5"/>
        <v>41.499108727547302</v>
      </c>
      <c r="M15" s="164">
        <f t="shared" si="5"/>
        <v>34.432800462611908</v>
      </c>
      <c r="N15" s="164">
        <f t="shared" si="5"/>
        <v>30.225133814673921</v>
      </c>
      <c r="O15" s="164">
        <f t="shared" si="5"/>
        <v>31.605225631074099</v>
      </c>
      <c r="P15" s="164">
        <f t="shared" si="5"/>
        <v>27.489141918957642</v>
      </c>
      <c r="Q15" s="165">
        <f t="shared" si="5"/>
        <v>23.019100969464017</v>
      </c>
    </row>
    <row r="16" spans="1:18" s="58" customFormat="1" ht="20.100000000000001" customHeight="1" x14ac:dyDescent="0.2">
      <c r="A16" s="166"/>
      <c r="B16" s="272" t="s">
        <v>210</v>
      </c>
      <c r="C16" s="168"/>
      <c r="D16" s="169"/>
      <c r="E16" s="169"/>
      <c r="F16" s="164"/>
      <c r="G16" s="164"/>
      <c r="H16" s="164"/>
      <c r="I16" s="164"/>
      <c r="J16" s="164"/>
      <c r="K16" s="164"/>
      <c r="L16" s="164"/>
      <c r="M16" s="164"/>
      <c r="N16" s="164"/>
      <c r="O16" s="164"/>
      <c r="P16" s="164"/>
      <c r="Q16" s="165"/>
    </row>
    <row r="17" spans="1:18" s="58" customFormat="1" ht="20.100000000000001" customHeight="1" x14ac:dyDescent="0.2">
      <c r="A17" s="170"/>
      <c r="B17" s="273" t="s">
        <v>198</v>
      </c>
      <c r="C17" s="172" t="e">
        <f>#REF!</f>
        <v>#REF!</v>
      </c>
      <c r="D17" s="173" t="e">
        <f>#REF!</f>
        <v>#REF!</v>
      </c>
      <c r="E17" s="173" t="e">
        <f>#REF!</f>
        <v>#REF!</v>
      </c>
      <c r="F17" s="174" t="e">
        <f>$C17/L35</f>
        <v>#REF!</v>
      </c>
      <c r="G17" s="265" t="s">
        <v>193</v>
      </c>
      <c r="H17" s="174" t="e">
        <f>$C17/N35</f>
        <v>#REF!</v>
      </c>
      <c r="I17" s="174" t="e">
        <f t="shared" si="5"/>
        <v>#REF!</v>
      </c>
      <c r="J17" s="174" t="e">
        <f t="shared" si="5"/>
        <v>#REF!</v>
      </c>
      <c r="K17" s="174" t="e">
        <f t="shared" si="5"/>
        <v>#REF!</v>
      </c>
      <c r="L17" s="174" t="e">
        <f t="shared" si="5"/>
        <v>#REF!</v>
      </c>
      <c r="M17" s="174" t="e">
        <f t="shared" si="5"/>
        <v>#REF!</v>
      </c>
      <c r="N17" s="174" t="e">
        <f t="shared" si="5"/>
        <v>#REF!</v>
      </c>
      <c r="O17" s="174" t="e">
        <f t="shared" si="5"/>
        <v>#REF!</v>
      </c>
      <c r="P17" s="174" t="e">
        <f t="shared" si="5"/>
        <v>#REF!</v>
      </c>
      <c r="Q17" s="175" t="e">
        <f t="shared" si="5"/>
        <v>#REF!</v>
      </c>
    </row>
    <row r="18" spans="1:18" s="181" customFormat="1" x14ac:dyDescent="0.2">
      <c r="A18" s="176"/>
      <c r="B18" s="177" t="s">
        <v>156</v>
      </c>
      <c r="C18" s="178"/>
      <c r="D18" s="178"/>
      <c r="E18" s="178"/>
      <c r="F18" s="179" t="e">
        <f>MEDIAN(F9:F17)</f>
        <v>#REF!</v>
      </c>
      <c r="G18" s="179" t="e">
        <f t="shared" ref="G18:Q18" si="6">MEDIAN(G9:G17)</f>
        <v>#REF!</v>
      </c>
      <c r="H18" s="179" t="e">
        <f t="shared" si="6"/>
        <v>#REF!</v>
      </c>
      <c r="I18" s="179" t="e">
        <f t="shared" si="6"/>
        <v>#REF!</v>
      </c>
      <c r="J18" s="179" t="e">
        <f t="shared" si="6"/>
        <v>#REF!</v>
      </c>
      <c r="K18" s="179" t="e">
        <f t="shared" si="6"/>
        <v>#REF!</v>
      </c>
      <c r="L18" s="179" t="e">
        <f t="shared" si="6"/>
        <v>#REF!</v>
      </c>
      <c r="M18" s="179" t="e">
        <f t="shared" si="6"/>
        <v>#REF!</v>
      </c>
      <c r="N18" s="179" t="e">
        <f t="shared" si="6"/>
        <v>#REF!</v>
      </c>
      <c r="O18" s="179" t="e">
        <f t="shared" si="6"/>
        <v>#REF!</v>
      </c>
      <c r="P18" s="179" t="e">
        <f t="shared" si="6"/>
        <v>#REF!</v>
      </c>
      <c r="Q18" s="180" t="e">
        <f t="shared" si="6"/>
        <v>#REF!</v>
      </c>
    </row>
    <row r="19" spans="1:18" s="181" customFormat="1" x14ac:dyDescent="0.2">
      <c r="A19" s="176"/>
      <c r="B19" s="177" t="s">
        <v>157</v>
      </c>
      <c r="C19" s="178"/>
      <c r="D19" s="178"/>
      <c r="E19" s="178"/>
      <c r="F19" s="179" t="e">
        <f>MAX(F9:F17)</f>
        <v>#REF!</v>
      </c>
      <c r="G19" s="179" t="e">
        <f t="shared" ref="G19:Q19" si="7">MAX(G9:G17)</f>
        <v>#REF!</v>
      </c>
      <c r="H19" s="179" t="e">
        <f t="shared" si="7"/>
        <v>#REF!</v>
      </c>
      <c r="I19" s="179" t="e">
        <f t="shared" si="7"/>
        <v>#REF!</v>
      </c>
      <c r="J19" s="179" t="e">
        <f t="shared" si="7"/>
        <v>#REF!</v>
      </c>
      <c r="K19" s="179" t="e">
        <f t="shared" si="7"/>
        <v>#REF!</v>
      </c>
      <c r="L19" s="179" t="e">
        <f t="shared" si="7"/>
        <v>#REF!</v>
      </c>
      <c r="M19" s="179" t="e">
        <f t="shared" si="7"/>
        <v>#REF!</v>
      </c>
      <c r="N19" s="179" t="e">
        <f t="shared" si="7"/>
        <v>#REF!</v>
      </c>
      <c r="O19" s="179" t="e">
        <f t="shared" si="7"/>
        <v>#REF!</v>
      </c>
      <c r="P19" s="179" t="e">
        <f t="shared" si="7"/>
        <v>#REF!</v>
      </c>
      <c r="Q19" s="180" t="e">
        <f t="shared" si="7"/>
        <v>#REF!</v>
      </c>
    </row>
    <row r="20" spans="1:18" s="181" customFormat="1" x14ac:dyDescent="0.2">
      <c r="A20" s="182"/>
      <c r="B20" s="183" t="s">
        <v>158</v>
      </c>
      <c r="C20" s="184"/>
      <c r="D20" s="184"/>
      <c r="E20" s="184"/>
      <c r="F20" s="185" t="e">
        <f>MIN(F9:F17)</f>
        <v>#REF!</v>
      </c>
      <c r="G20" s="185" t="e">
        <f t="shared" ref="G20:Q20" si="8">MIN(G9:G17)</f>
        <v>#REF!</v>
      </c>
      <c r="H20" s="185" t="e">
        <f t="shared" si="8"/>
        <v>#REF!</v>
      </c>
      <c r="I20" s="185" t="e">
        <f t="shared" si="8"/>
        <v>#REF!</v>
      </c>
      <c r="J20" s="185" t="e">
        <f t="shared" si="8"/>
        <v>#REF!</v>
      </c>
      <c r="K20" s="185" t="e">
        <f t="shared" si="8"/>
        <v>#REF!</v>
      </c>
      <c r="L20" s="185" t="e">
        <f t="shared" si="8"/>
        <v>#REF!</v>
      </c>
      <c r="M20" s="185" t="e">
        <f t="shared" si="8"/>
        <v>#REF!</v>
      </c>
      <c r="N20" s="185" t="e">
        <f t="shared" si="8"/>
        <v>#REF!</v>
      </c>
      <c r="O20" s="185" t="e">
        <f t="shared" si="8"/>
        <v>#REF!</v>
      </c>
      <c r="P20" s="185" t="e">
        <f t="shared" si="8"/>
        <v>#REF!</v>
      </c>
      <c r="Q20" s="186" t="e">
        <f t="shared" si="8"/>
        <v>#REF!</v>
      </c>
    </row>
    <row r="21" spans="1:18" s="188" customFormat="1" x14ac:dyDescent="0.2">
      <c r="A21" s="60"/>
      <c r="B21" s="84"/>
      <c r="C21" s="187"/>
      <c r="D21" s="187"/>
      <c r="E21" s="187"/>
      <c r="F21" s="187"/>
      <c r="G21" s="187"/>
      <c r="H21" s="187"/>
      <c r="I21" s="187"/>
      <c r="J21" s="187"/>
      <c r="K21" s="187"/>
      <c r="L21" s="187"/>
      <c r="M21" s="187"/>
      <c r="N21" s="187"/>
      <c r="O21" s="187"/>
      <c r="P21" s="187"/>
      <c r="Q21" s="187"/>
    </row>
    <row r="22" spans="1:18" ht="13.5" customHeight="1" x14ac:dyDescent="0.2">
      <c r="A22" s="127" t="s">
        <v>159</v>
      </c>
      <c r="B22" s="61"/>
      <c r="C22" s="61"/>
      <c r="D22" s="61"/>
      <c r="E22" s="61"/>
      <c r="F22" s="61"/>
      <c r="G22" s="61"/>
      <c r="H22" s="61"/>
      <c r="I22" s="61"/>
      <c r="J22" s="61"/>
      <c r="K22" s="61"/>
      <c r="L22" s="61"/>
      <c r="M22" s="61"/>
      <c r="N22" s="128"/>
    </row>
    <row r="23" spans="1:18" ht="12" customHeight="1" x14ac:dyDescent="0.2">
      <c r="A23" s="132"/>
      <c r="B23" s="66"/>
      <c r="C23" s="72"/>
      <c r="D23" s="72"/>
      <c r="E23" s="72"/>
      <c r="F23" s="189"/>
      <c r="G23" s="189"/>
      <c r="H23" s="189"/>
      <c r="I23" s="74"/>
      <c r="J23" s="74"/>
      <c r="K23" s="189"/>
      <c r="L23" s="189"/>
      <c r="M23" s="189"/>
      <c r="N23" s="190"/>
    </row>
    <row r="24" spans="1:18" ht="12" customHeight="1" x14ac:dyDescent="0.2">
      <c r="A24" s="132"/>
      <c r="B24" s="66"/>
      <c r="C24" s="71" t="s">
        <v>160</v>
      </c>
      <c r="D24" s="71"/>
      <c r="E24" s="71"/>
      <c r="F24" s="71" t="s">
        <v>0</v>
      </c>
      <c r="G24" s="71"/>
      <c r="H24" s="71"/>
      <c r="I24" s="71" t="s">
        <v>1</v>
      </c>
      <c r="J24" s="71"/>
      <c r="K24" s="71"/>
      <c r="L24" s="71" t="s">
        <v>161</v>
      </c>
      <c r="M24" s="71"/>
      <c r="N24" s="191"/>
    </row>
    <row r="25" spans="1:18" ht="12" customHeight="1" x14ac:dyDescent="0.2">
      <c r="A25" s="141"/>
      <c r="B25" s="142"/>
      <c r="C25" s="145" t="s">
        <v>208</v>
      </c>
      <c r="D25" s="145" t="s">
        <v>162</v>
      </c>
      <c r="E25" s="145" t="s">
        <v>209</v>
      </c>
      <c r="F25" s="145" t="str">
        <f>C25</f>
        <v>20A</v>
      </c>
      <c r="G25" s="145" t="str">
        <f>D25</f>
        <v>LTM</v>
      </c>
      <c r="H25" s="192" t="str">
        <f>E25</f>
        <v>21E</v>
      </c>
      <c r="I25" s="145" t="str">
        <f>F25</f>
        <v>20A</v>
      </c>
      <c r="J25" s="145" t="str">
        <f>G25</f>
        <v>LTM</v>
      </c>
      <c r="K25" s="192" t="str">
        <f>E25</f>
        <v>21E</v>
      </c>
      <c r="L25" s="145" t="str">
        <f>I25</f>
        <v>20A</v>
      </c>
      <c r="M25" s="145" t="str">
        <f>J25</f>
        <v>LTM</v>
      </c>
      <c r="N25" s="146" t="str">
        <f>E25</f>
        <v>21E</v>
      </c>
    </row>
    <row r="26" spans="1:18" ht="12" customHeight="1" x14ac:dyDescent="0.2">
      <c r="A26" s="150"/>
      <c r="B26" s="75" t="s">
        <v>152</v>
      </c>
      <c r="C26" s="153" t="s">
        <v>153</v>
      </c>
      <c r="D26" s="153" t="s">
        <v>153</v>
      </c>
      <c r="E26" s="153" t="s">
        <v>153</v>
      </c>
      <c r="F26" s="153" t="s">
        <v>153</v>
      </c>
      <c r="G26" s="153" t="s">
        <v>153</v>
      </c>
      <c r="H26" s="153" t="s">
        <v>153</v>
      </c>
      <c r="I26" s="153" t="s">
        <v>153</v>
      </c>
      <c r="J26" s="153" t="s">
        <v>153</v>
      </c>
      <c r="K26" s="153" t="s">
        <v>153</v>
      </c>
      <c r="L26" s="153" t="s">
        <v>163</v>
      </c>
      <c r="M26" s="153" t="s">
        <v>163</v>
      </c>
      <c r="N26" s="154" t="s">
        <v>163</v>
      </c>
    </row>
    <row r="27" spans="1:18" ht="20.100000000000001" customHeight="1" x14ac:dyDescent="0.2">
      <c r="A27" s="155"/>
      <c r="B27" s="156" t="s">
        <v>181</v>
      </c>
      <c r="C27" s="193" t="e">
        <f>#REF!</f>
        <v>#REF!</v>
      </c>
      <c r="D27" s="193" t="e">
        <f>#REF!</f>
        <v>#REF!</v>
      </c>
      <c r="E27" s="193" t="e">
        <f>#REF!</f>
        <v>#REF!</v>
      </c>
      <c r="F27" s="193" t="e">
        <f>#REF!</f>
        <v>#REF!</v>
      </c>
      <c r="G27" s="193" t="e">
        <f>#REF!</f>
        <v>#REF!</v>
      </c>
      <c r="H27" s="193" t="e">
        <f>#REF!</f>
        <v>#REF!</v>
      </c>
      <c r="I27" s="194" t="e">
        <f>#REF!</f>
        <v>#REF!</v>
      </c>
      <c r="J27" s="194" t="e">
        <f>#REF!</f>
        <v>#REF!</v>
      </c>
      <c r="K27" s="194" t="e">
        <f>#REF!</f>
        <v>#REF!</v>
      </c>
      <c r="L27" s="195" t="e">
        <f>#REF!</f>
        <v>#REF!</v>
      </c>
      <c r="M27" s="195" t="e">
        <f>#REF!</f>
        <v>#REF!</v>
      </c>
      <c r="N27" s="196" t="e">
        <f>#REF!</f>
        <v>#REF!</v>
      </c>
      <c r="R27"/>
    </row>
    <row r="28" spans="1:18" ht="20.100000000000001" customHeight="1" x14ac:dyDescent="0.2">
      <c r="A28" s="197"/>
      <c r="B28" s="198" t="s">
        <v>195</v>
      </c>
      <c r="C28" s="199" t="e">
        <f>#REF!</f>
        <v>#REF!</v>
      </c>
      <c r="D28" s="199" t="e">
        <f>#REF!</f>
        <v>#REF!</v>
      </c>
      <c r="E28" s="199" t="e">
        <f>#REF!</f>
        <v>#REF!</v>
      </c>
      <c r="F28" s="199" t="e">
        <f>#REF!</f>
        <v>#REF!</v>
      </c>
      <c r="G28" s="199" t="e">
        <f>#REF!</f>
        <v>#REF!</v>
      </c>
      <c r="H28" s="199" t="e">
        <f>#REF!</f>
        <v>#REF!</v>
      </c>
      <c r="I28" s="200" t="e">
        <f>#REF!</f>
        <v>#REF!</v>
      </c>
      <c r="J28" s="200" t="e">
        <f>#REF!</f>
        <v>#REF!</v>
      </c>
      <c r="K28" s="200" t="e">
        <f>#REF!</f>
        <v>#REF!</v>
      </c>
      <c r="L28" s="201" t="e">
        <f>#REF!</f>
        <v>#REF!</v>
      </c>
      <c r="M28" s="201" t="e">
        <f>#REF!</f>
        <v>#REF!</v>
      </c>
      <c r="N28" s="202" t="e">
        <f>#REF!</f>
        <v>#REF!</v>
      </c>
    </row>
    <row r="29" spans="1:18" ht="20.100000000000001" customHeight="1" x14ac:dyDescent="0.2">
      <c r="A29" s="166"/>
      <c r="B29" s="167" t="s">
        <v>196</v>
      </c>
      <c r="C29" s="203" t="e">
        <f>#REF!</f>
        <v>#REF!</v>
      </c>
      <c r="D29" s="203" t="e">
        <f>#REF!</f>
        <v>#REF!</v>
      </c>
      <c r="E29" s="203" t="e">
        <f>#REF!</f>
        <v>#REF!</v>
      </c>
      <c r="F29" s="203" t="e">
        <f>#REF!</f>
        <v>#REF!</v>
      </c>
      <c r="G29" s="203" t="e">
        <f>#REF!</f>
        <v>#REF!</v>
      </c>
      <c r="H29" s="203" t="e">
        <f>#REF!</f>
        <v>#REF!</v>
      </c>
      <c r="I29" s="204" t="e">
        <f>#REF!</f>
        <v>#REF!</v>
      </c>
      <c r="J29" s="204" t="e">
        <f>#REF!</f>
        <v>#REF!</v>
      </c>
      <c r="K29" s="204" t="e">
        <f>#REF!</f>
        <v>#REF!</v>
      </c>
      <c r="L29" s="205" t="e">
        <f>#REF!</f>
        <v>#REF!</v>
      </c>
      <c r="M29" s="205" t="e">
        <f>#REF!</f>
        <v>#REF!</v>
      </c>
      <c r="N29" s="206" t="e">
        <f>#REF!</f>
        <v>#REF!</v>
      </c>
    </row>
    <row r="30" spans="1:18" ht="20.100000000000001" customHeight="1" x14ac:dyDescent="0.2">
      <c r="A30" s="166"/>
      <c r="B30" s="167" t="s">
        <v>164</v>
      </c>
      <c r="C30" s="203" t="e">
        <f>#REF!</f>
        <v>#REF!</v>
      </c>
      <c r="D30" s="203" t="e">
        <f>#REF!</f>
        <v>#REF!</v>
      </c>
      <c r="E30" s="203" t="e">
        <f>#REF!</f>
        <v>#REF!</v>
      </c>
      <c r="F30" s="203" t="e">
        <f>#REF!</f>
        <v>#REF!</v>
      </c>
      <c r="G30" s="203" t="e">
        <f>#REF!</f>
        <v>#REF!</v>
      </c>
      <c r="H30" s="203" t="e">
        <f>#REF!</f>
        <v>#REF!</v>
      </c>
      <c r="I30" s="204" t="e">
        <f>#REF!</f>
        <v>#REF!</v>
      </c>
      <c r="J30" s="204" t="e">
        <f>#REF!</f>
        <v>#REF!</v>
      </c>
      <c r="K30" s="204" t="e">
        <f>#REF!</f>
        <v>#REF!</v>
      </c>
      <c r="L30" s="205" t="e">
        <f>#REF!</f>
        <v>#REF!</v>
      </c>
      <c r="M30" s="205" t="e">
        <f>#REF!</f>
        <v>#REF!</v>
      </c>
      <c r="N30" s="206" t="e">
        <f>#REF!</f>
        <v>#REF!</v>
      </c>
    </row>
    <row r="31" spans="1:18" ht="20.100000000000001" customHeight="1" x14ac:dyDescent="0.2">
      <c r="A31" s="166"/>
      <c r="B31" s="167" t="s">
        <v>155</v>
      </c>
      <c r="C31" s="203" t="e">
        <f>#REF!</f>
        <v>#REF!</v>
      </c>
      <c r="D31" s="203" t="e">
        <f>#REF!</f>
        <v>#REF!</v>
      </c>
      <c r="E31" s="203" t="e">
        <f>#REF!</f>
        <v>#REF!</v>
      </c>
      <c r="F31" s="203" t="e">
        <f>#REF!</f>
        <v>#REF!</v>
      </c>
      <c r="G31" s="203" t="e">
        <f>#REF!</f>
        <v>#REF!</v>
      </c>
      <c r="H31" s="203" t="e">
        <f>#REF!</f>
        <v>#REF!</v>
      </c>
      <c r="I31" s="204" t="e">
        <f>#REF!</f>
        <v>#REF!</v>
      </c>
      <c r="J31" s="204" t="e">
        <f>#REF!</f>
        <v>#REF!</v>
      </c>
      <c r="K31" s="204" t="e">
        <f>#REF!</f>
        <v>#REF!</v>
      </c>
      <c r="L31" s="205" t="e">
        <f>#REF!</f>
        <v>#REF!</v>
      </c>
      <c r="M31" s="205" t="e">
        <f>#REF!</f>
        <v>#REF!</v>
      </c>
      <c r="N31" s="206" t="e">
        <f>#REF!</f>
        <v>#REF!</v>
      </c>
    </row>
    <row r="32" spans="1:18" ht="20.100000000000001" customHeight="1" x14ac:dyDescent="0.2">
      <c r="A32" s="166"/>
      <c r="B32" s="167" t="s">
        <v>194</v>
      </c>
      <c r="C32" s="203" t="e">
        <f>#REF!</f>
        <v>#REF!</v>
      </c>
      <c r="D32" s="203" t="e">
        <f>#REF!</f>
        <v>#REF!</v>
      </c>
      <c r="E32" s="203" t="e">
        <f>#REF!</f>
        <v>#REF!</v>
      </c>
      <c r="F32" s="203" t="e">
        <f>#REF!</f>
        <v>#REF!</v>
      </c>
      <c r="G32" s="203" t="e">
        <f>#REF!</f>
        <v>#REF!</v>
      </c>
      <c r="H32" s="203" t="e">
        <f>#REF!</f>
        <v>#REF!</v>
      </c>
      <c r="I32" s="204" t="e">
        <f>#REF!</f>
        <v>#REF!</v>
      </c>
      <c r="J32" s="204" t="e">
        <f>#REF!</f>
        <v>#REF!</v>
      </c>
      <c r="K32" s="204" t="e">
        <f>#REF!</f>
        <v>#REF!</v>
      </c>
      <c r="L32" s="205" t="e">
        <f>#REF!</f>
        <v>#REF!</v>
      </c>
      <c r="M32" s="205" t="e">
        <f>#REF!</f>
        <v>#REF!</v>
      </c>
      <c r="N32" s="206" t="e">
        <f>#REF!</f>
        <v>#REF!</v>
      </c>
    </row>
    <row r="33" spans="1:14" ht="20.100000000000001" customHeight="1" x14ac:dyDescent="0.2">
      <c r="A33" s="166"/>
      <c r="B33" s="167" t="s">
        <v>197</v>
      </c>
      <c r="C33" s="203">
        <f>'GOOG Comp'!E6</f>
        <v>182527</v>
      </c>
      <c r="D33" s="203">
        <f>'GOOG Comp'!G6</f>
        <v>196682</v>
      </c>
      <c r="E33" s="203">
        <f>'GOOG Comp'!H6</f>
        <v>250609.571</v>
      </c>
      <c r="F33" s="203">
        <f>'GOOG Comp'!E19</f>
        <v>41224</v>
      </c>
      <c r="G33" s="203">
        <f>'GOOG Comp'!G19</f>
        <v>49684</v>
      </c>
      <c r="H33" s="203">
        <f>'GOOG Comp'!H19</f>
        <v>56600.552000000011</v>
      </c>
      <c r="I33" s="204">
        <f>'GOOG Comp'!E15</f>
        <v>54129</v>
      </c>
      <c r="J33" s="204">
        <f>'GOOG Comp'!G15</f>
        <v>62234</v>
      </c>
      <c r="K33" s="204">
        <f>'GOOG Comp'!H15</f>
        <v>74319.117000000013</v>
      </c>
      <c r="L33" s="205">
        <f>'GOOG Comp'!E43</f>
        <v>49.064068054691383</v>
      </c>
      <c r="M33" s="205">
        <f>'GOOG Comp'!G43</f>
        <v>58.414485430045872</v>
      </c>
      <c r="N33" s="206">
        <f>'GOOG Comp'!H43</f>
        <v>67.395886796455684</v>
      </c>
    </row>
    <row r="34" spans="1:14" ht="20.100000000000001" customHeight="1" x14ac:dyDescent="0.2">
      <c r="A34" s="166"/>
      <c r="B34" s="167" t="s">
        <v>210</v>
      </c>
      <c r="C34" s="203"/>
      <c r="D34" s="203"/>
      <c r="E34" s="203"/>
      <c r="F34" s="203"/>
      <c r="G34" s="203"/>
      <c r="H34" s="203"/>
      <c r="I34" s="204"/>
      <c r="J34" s="204"/>
      <c r="K34" s="204"/>
      <c r="L34" s="205"/>
      <c r="M34" s="205"/>
      <c r="N34" s="206"/>
    </row>
    <row r="35" spans="1:14" ht="20.100000000000001" customHeight="1" x14ac:dyDescent="0.2">
      <c r="A35" s="170"/>
      <c r="B35" s="171" t="s">
        <v>198</v>
      </c>
      <c r="C35" s="207" t="e">
        <f>#REF!</f>
        <v>#REF!</v>
      </c>
      <c r="D35" s="207" t="e">
        <f>#REF!</f>
        <v>#REF!</v>
      </c>
      <c r="E35" s="207" t="e">
        <f>#REF!</f>
        <v>#REF!</v>
      </c>
      <c r="F35" s="207" t="e">
        <f>#REF!</f>
        <v>#REF!</v>
      </c>
      <c r="G35" s="207" t="e">
        <f>#REF!</f>
        <v>#REF!</v>
      </c>
      <c r="H35" s="207" t="e">
        <f>#REF!</f>
        <v>#REF!</v>
      </c>
      <c r="I35" s="208" t="e">
        <f>#REF!</f>
        <v>#REF!</v>
      </c>
      <c r="J35" s="208" t="e">
        <f>#REF!</f>
        <v>#REF!</v>
      </c>
      <c r="K35" s="208" t="e">
        <f>#REF!</f>
        <v>#REF!</v>
      </c>
      <c r="L35" s="209" t="e">
        <f>#REF!</f>
        <v>#REF!</v>
      </c>
      <c r="M35" s="264" t="e">
        <f>#REF!</f>
        <v>#REF!</v>
      </c>
      <c r="N35" s="210" t="e">
        <f>#REF!</f>
        <v>#REF!</v>
      </c>
    </row>
  </sheetData>
  <mergeCells count="2">
    <mergeCell ref="C4:C6"/>
    <mergeCell ref="D4:D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sheetPr>
  <dimension ref="A1:AQ68"/>
  <sheetViews>
    <sheetView workbookViewId="0"/>
  </sheetViews>
  <sheetFormatPr defaultRowHeight="12.75" x14ac:dyDescent="0.2"/>
  <cols>
    <col min="1" max="2" width="2.7109375" style="49" customWidth="1"/>
    <col min="3" max="3" width="37.5703125" style="49" bestFit="1" customWidth="1"/>
    <col min="4" max="4" width="14.5703125" style="55" bestFit="1" customWidth="1"/>
    <col min="5" max="8" width="9.7109375" style="55" customWidth="1"/>
    <col min="15" max="15" width="9.7109375" bestFit="1" customWidth="1"/>
    <col min="16" max="37" width="8.85546875" customWidth="1"/>
    <col min="38" max="16384" width="9.140625" style="49"/>
  </cols>
  <sheetData>
    <row r="1" spans="1:43" ht="29.85" customHeight="1" x14ac:dyDescent="0.2">
      <c r="B1" s="51"/>
      <c r="C1" s="51"/>
      <c r="D1" s="211"/>
      <c r="E1" s="211"/>
      <c r="F1" s="211"/>
      <c r="G1" s="211"/>
      <c r="H1" s="211"/>
    </row>
    <row r="2" spans="1:43" ht="12.75" customHeight="1" x14ac:dyDescent="0.2">
      <c r="A2" s="34" t="s">
        <v>192</v>
      </c>
      <c r="B2" s="212"/>
      <c r="C2" s="34"/>
      <c r="D2" s="213"/>
      <c r="E2" s="213"/>
      <c r="F2" s="213"/>
      <c r="G2" s="213"/>
      <c r="H2" s="213"/>
    </row>
    <row r="3" spans="1:43" ht="12.75" customHeight="1" x14ac:dyDescent="0.2">
      <c r="A3" s="64"/>
      <c r="B3" s="214"/>
      <c r="C3" s="215"/>
      <c r="D3" s="41" t="s">
        <v>31</v>
      </c>
      <c r="E3" s="41"/>
      <c r="F3" s="41"/>
      <c r="G3" s="41"/>
      <c r="H3" s="44" t="s">
        <v>32</v>
      </c>
    </row>
    <row r="4" spans="1:43" ht="12.75" customHeight="1" x14ac:dyDescent="0.2">
      <c r="A4" s="64"/>
      <c r="B4" s="214"/>
      <c r="C4" s="215"/>
      <c r="D4" s="216"/>
      <c r="E4" s="216"/>
      <c r="F4" s="216"/>
      <c r="G4" s="216"/>
      <c r="H4" s="35"/>
    </row>
    <row r="5" spans="1:43" ht="12.75" customHeight="1" x14ac:dyDescent="0.2">
      <c r="A5" s="217"/>
      <c r="B5" s="218"/>
      <c r="C5" s="38"/>
      <c r="D5" s="47" t="s">
        <v>182</v>
      </c>
      <c r="E5" s="47">
        <v>2020</v>
      </c>
      <c r="F5" s="47" t="s">
        <v>183</v>
      </c>
      <c r="G5" s="47" t="s">
        <v>184</v>
      </c>
      <c r="H5" s="48">
        <v>2021</v>
      </c>
    </row>
    <row r="6" spans="1:43" ht="21" customHeight="1" x14ac:dyDescent="0.2">
      <c r="A6" s="219" t="s">
        <v>34</v>
      </c>
      <c r="B6" s="220"/>
      <c r="C6" s="221"/>
      <c r="D6" s="241">
        <v>41159</v>
      </c>
      <c r="E6" s="241">
        <v>182527</v>
      </c>
      <c r="F6" s="241">
        <v>55314</v>
      </c>
      <c r="G6" s="226">
        <f>E6+F6-D6</f>
        <v>196682</v>
      </c>
      <c r="H6" s="226">
        <f>E6*(1+H7)</f>
        <v>250609.571</v>
      </c>
    </row>
    <row r="7" spans="1:43" ht="12.75" customHeight="1" x14ac:dyDescent="0.2">
      <c r="A7" s="222"/>
      <c r="B7" s="222"/>
      <c r="C7" s="227" t="s">
        <v>165</v>
      </c>
      <c r="D7" s="228"/>
      <c r="E7" s="228"/>
      <c r="F7" s="228"/>
      <c r="G7" s="228"/>
      <c r="H7" s="246">
        <v>0.373</v>
      </c>
    </row>
    <row r="8" spans="1:43" ht="9" customHeight="1" x14ac:dyDescent="0.2">
      <c r="A8" s="219"/>
      <c r="B8" s="222"/>
      <c r="C8" s="227"/>
      <c r="D8" s="228"/>
      <c r="E8" s="228"/>
      <c r="F8" s="228"/>
      <c r="G8" s="228"/>
      <c r="H8" s="228"/>
    </row>
    <row r="9" spans="1:43" ht="12.75" customHeight="1" collapsed="1" x14ac:dyDescent="0.2">
      <c r="A9" s="219" t="s">
        <v>35</v>
      </c>
      <c r="B9" s="219"/>
      <c r="C9" s="223"/>
      <c r="D9" s="224">
        <f>18982-D17</f>
        <v>15874</v>
      </c>
      <c r="E9" s="224">
        <f>84732-E17</f>
        <v>71827</v>
      </c>
      <c r="F9" s="224">
        <f>24103-F17</f>
        <v>21350</v>
      </c>
      <c r="G9" s="225">
        <f>E9+F9-D9</f>
        <v>77303</v>
      </c>
      <c r="H9" s="225">
        <f>H10*H6</f>
        <v>98618.47099999999</v>
      </c>
    </row>
    <row r="10" spans="1:43" ht="15" customHeight="1" x14ac:dyDescent="0.2">
      <c r="A10" s="222"/>
      <c r="B10" s="229" t="s">
        <v>166</v>
      </c>
      <c r="C10" s="227"/>
      <c r="D10" s="230">
        <f>D9/D6</f>
        <v>0.38567506499186083</v>
      </c>
      <c r="E10" s="230">
        <f>E9/E6</f>
        <v>0.39351438417330037</v>
      </c>
      <c r="F10" s="230">
        <f>F9/F6</f>
        <v>0.3859782333586434</v>
      </c>
      <c r="G10" s="230">
        <f>G9/G6</f>
        <v>0.39303545825240743</v>
      </c>
      <c r="H10" s="230">
        <f>E10</f>
        <v>0.39351438417330037</v>
      </c>
    </row>
    <row r="11" spans="1:43" ht="21" customHeight="1" x14ac:dyDescent="0.2">
      <c r="A11" s="219" t="s">
        <v>55</v>
      </c>
      <c r="B11" s="219"/>
      <c r="C11" s="221"/>
      <c r="D11" s="226">
        <f>D6-D9</f>
        <v>25285</v>
      </c>
      <c r="E11" s="226">
        <f>E6-E9</f>
        <v>110700</v>
      </c>
      <c r="F11" s="226">
        <f>F6-F9</f>
        <v>33964</v>
      </c>
      <c r="G11" s="226">
        <f>G6-G9</f>
        <v>119379</v>
      </c>
      <c r="H11" s="226">
        <f>H6-H9</f>
        <v>151991.1</v>
      </c>
    </row>
    <row r="12" spans="1:43" customFormat="1" ht="12.75" customHeight="1" x14ac:dyDescent="0.2">
      <c r="A12" s="222"/>
      <c r="B12" s="229" t="s">
        <v>36</v>
      </c>
      <c r="C12" s="227"/>
      <c r="D12" s="228">
        <f>D11/D6</f>
        <v>0.61432493500813912</v>
      </c>
      <c r="E12" s="228">
        <f>E11/E6</f>
        <v>0.60648561582669958</v>
      </c>
      <c r="F12" s="228">
        <f>F11/F6</f>
        <v>0.61402176664135666</v>
      </c>
      <c r="G12" s="228">
        <f>G11/G6</f>
        <v>0.60696454174759251</v>
      </c>
      <c r="H12" s="228">
        <f>H11/H6</f>
        <v>0.60648561582669969</v>
      </c>
      <c r="AL12" s="49"/>
      <c r="AM12" s="49"/>
      <c r="AN12" s="49"/>
      <c r="AO12" s="49"/>
      <c r="AP12" s="49"/>
      <c r="AQ12" s="49"/>
    </row>
    <row r="13" spans="1:43" customFormat="1" ht="21" customHeight="1" x14ac:dyDescent="0.2">
      <c r="A13" s="219" t="s">
        <v>42</v>
      </c>
      <c r="B13" s="222"/>
      <c r="C13" s="222"/>
      <c r="D13" s="242">
        <f>6820+4500+2880</f>
        <v>14200</v>
      </c>
      <c r="E13" s="242">
        <f>27573+17946+11052</f>
        <v>56571</v>
      </c>
      <c r="F13" s="242">
        <f>7485+4516+2773</f>
        <v>14774</v>
      </c>
      <c r="G13" s="231">
        <f>E13+F13-D13</f>
        <v>57145</v>
      </c>
      <c r="H13" s="231">
        <f>H14*H6</f>
        <v>77671.982999999993</v>
      </c>
      <c r="AL13" s="49"/>
      <c r="AM13" s="49"/>
      <c r="AN13" s="49"/>
      <c r="AO13" s="49"/>
      <c r="AP13" s="49"/>
      <c r="AQ13" s="49"/>
    </row>
    <row r="14" spans="1:43" customFormat="1" ht="12.75" customHeight="1" x14ac:dyDescent="0.2">
      <c r="A14" s="222"/>
      <c r="B14" s="229" t="s">
        <v>185</v>
      </c>
      <c r="C14" s="227"/>
      <c r="D14" s="228">
        <f>D13/D6</f>
        <v>0.34500352292329745</v>
      </c>
      <c r="E14" s="228">
        <f>E13/E6</f>
        <v>0.30993222920444646</v>
      </c>
      <c r="F14" s="228">
        <f>F13/F6</f>
        <v>0.26709332176302564</v>
      </c>
      <c r="G14" s="228">
        <f>G13/G6</f>
        <v>0.29054514393793024</v>
      </c>
      <c r="H14" s="228">
        <f>E14</f>
        <v>0.30993222920444646</v>
      </c>
      <c r="AL14" s="49"/>
      <c r="AM14" s="49"/>
      <c r="AN14" s="49"/>
      <c r="AO14" s="49"/>
      <c r="AP14" s="49"/>
      <c r="AQ14" s="49"/>
    </row>
    <row r="15" spans="1:43" customFormat="1" ht="21" customHeight="1" collapsed="1" x14ac:dyDescent="0.2">
      <c r="A15" s="219" t="s">
        <v>1</v>
      </c>
      <c r="B15" s="219"/>
      <c r="C15" s="221"/>
      <c r="D15" s="226">
        <f>D11-D13</f>
        <v>11085</v>
      </c>
      <c r="E15" s="226">
        <f>E11-E13</f>
        <v>54129</v>
      </c>
      <c r="F15" s="226">
        <f>F11-F13</f>
        <v>19190</v>
      </c>
      <c r="G15" s="226">
        <f>G11-G13</f>
        <v>62234</v>
      </c>
      <c r="H15" s="226">
        <f>H11-H13</f>
        <v>74319.117000000013</v>
      </c>
      <c r="AL15" s="49"/>
      <c r="AM15" s="49"/>
      <c r="AN15" s="49"/>
      <c r="AO15" s="49"/>
      <c r="AP15" s="49"/>
      <c r="AQ15" s="49"/>
    </row>
    <row r="16" spans="1:43" customFormat="1" ht="12.75" customHeight="1" x14ac:dyDescent="0.2">
      <c r="A16" s="222"/>
      <c r="B16" s="229" t="s">
        <v>37</v>
      </c>
      <c r="C16" s="227"/>
      <c r="D16" s="228">
        <f>D15/D6</f>
        <v>0.26932141208484173</v>
      </c>
      <c r="E16" s="228">
        <f>E15/E6</f>
        <v>0.29655338662225317</v>
      </c>
      <c r="F16" s="228">
        <f>F15/F6</f>
        <v>0.34692844487833097</v>
      </c>
      <c r="G16" s="228">
        <f>G15/G6</f>
        <v>0.31641939780966227</v>
      </c>
      <c r="H16" s="228">
        <f>H15/H6</f>
        <v>0.29655338662225322</v>
      </c>
      <c r="AL16" s="49"/>
      <c r="AM16" s="49"/>
      <c r="AN16" s="49"/>
      <c r="AO16" s="49"/>
      <c r="AP16" s="49"/>
      <c r="AQ16" s="49"/>
    </row>
    <row r="17" spans="1:43" customFormat="1" ht="21" customHeight="1" x14ac:dyDescent="0.2">
      <c r="A17" s="222" t="s">
        <v>38</v>
      </c>
      <c r="B17" s="222"/>
      <c r="C17" s="222"/>
      <c r="D17" s="224">
        <f>2899+209</f>
        <v>3108</v>
      </c>
      <c r="E17" s="224">
        <v>12905</v>
      </c>
      <c r="F17" s="224">
        <f>2525+228</f>
        <v>2753</v>
      </c>
      <c r="G17" s="225">
        <f>E17+F17-D17</f>
        <v>12550</v>
      </c>
      <c r="H17" s="225">
        <f>H18*H6</f>
        <v>17718.565000000002</v>
      </c>
      <c r="AL17" s="49"/>
      <c r="AM17" s="49"/>
      <c r="AN17" s="49"/>
      <c r="AO17" s="49"/>
      <c r="AP17" s="49"/>
      <c r="AQ17" s="49"/>
    </row>
    <row r="18" spans="1:43" x14ac:dyDescent="0.2">
      <c r="A18" s="222"/>
      <c r="B18" s="229" t="s">
        <v>167</v>
      </c>
      <c r="C18" s="222"/>
      <c r="D18" s="230">
        <f>D17/D6</f>
        <v>7.5512038679268201E-2</v>
      </c>
      <c r="E18" s="230">
        <f>E17/E6</f>
        <v>7.0701868764621131E-2</v>
      </c>
      <c r="F18" s="230">
        <f>F17/F6</f>
        <v>4.9770401706620386E-2</v>
      </c>
      <c r="G18" s="230">
        <f>G17/G6</f>
        <v>6.3808584415452355E-2</v>
      </c>
      <c r="H18" s="230">
        <f>E18</f>
        <v>7.0701868764621131E-2</v>
      </c>
    </row>
    <row r="19" spans="1:43" ht="21" customHeight="1" collapsed="1" x14ac:dyDescent="0.2">
      <c r="A19" s="219" t="s">
        <v>0</v>
      </c>
      <c r="B19" s="219"/>
      <c r="C19" s="221"/>
      <c r="D19" s="226">
        <f>D15-D17</f>
        <v>7977</v>
      </c>
      <c r="E19" s="226">
        <f>E15-E17</f>
        <v>41224</v>
      </c>
      <c r="F19" s="226">
        <f>F15-F17</f>
        <v>16437</v>
      </c>
      <c r="G19" s="226">
        <f>G15-G17</f>
        <v>49684</v>
      </c>
      <c r="H19" s="226">
        <f>H15-H17</f>
        <v>56600.552000000011</v>
      </c>
    </row>
    <row r="20" spans="1:43" ht="12.75" customHeight="1" x14ac:dyDescent="0.2">
      <c r="A20" s="222"/>
      <c r="B20" s="229" t="s">
        <v>39</v>
      </c>
      <c r="C20" s="229"/>
      <c r="D20" s="230">
        <f>D19/D6</f>
        <v>0.1938093734055735</v>
      </c>
      <c r="E20" s="230">
        <f>E19/E6</f>
        <v>0.22585151785763202</v>
      </c>
      <c r="F20" s="230">
        <f>F19/F6</f>
        <v>0.29715804317171057</v>
      </c>
      <c r="G20" s="230">
        <f>G19/G6</f>
        <v>0.25261081339420993</v>
      </c>
      <c r="H20" s="230">
        <f>H19/H6</f>
        <v>0.22585151785763208</v>
      </c>
    </row>
    <row r="21" spans="1:43" ht="21" customHeight="1" x14ac:dyDescent="0.2">
      <c r="A21" s="219" t="s">
        <v>44</v>
      </c>
      <c r="B21" s="222"/>
      <c r="C21" s="223"/>
      <c r="D21" s="243">
        <v>0</v>
      </c>
      <c r="E21" s="243">
        <v>0</v>
      </c>
      <c r="F21" s="243">
        <v>0</v>
      </c>
      <c r="G21" s="225">
        <f>E21+F21-D21</f>
        <v>0</v>
      </c>
      <c r="H21" s="225">
        <f>E21</f>
        <v>0</v>
      </c>
    </row>
    <row r="22" spans="1:43" ht="21" customHeight="1" x14ac:dyDescent="0.2">
      <c r="A22" s="219" t="s">
        <v>76</v>
      </c>
      <c r="B22" s="222"/>
      <c r="C22" s="229"/>
      <c r="D22" s="228"/>
      <c r="E22" s="228"/>
      <c r="F22" s="228"/>
      <c r="G22" s="228"/>
      <c r="H22" s="228"/>
    </row>
    <row r="23" spans="1:43" ht="12.75" customHeight="1" x14ac:dyDescent="0.2">
      <c r="A23" s="222"/>
      <c r="B23" s="222" t="s">
        <v>40</v>
      </c>
      <c r="C23" s="222"/>
      <c r="D23" s="243">
        <v>21</v>
      </c>
      <c r="E23" s="243">
        <v>135</v>
      </c>
      <c r="F23" s="243">
        <v>76</v>
      </c>
      <c r="G23" s="225">
        <f>E23+F23-D23</f>
        <v>190</v>
      </c>
      <c r="H23" s="225">
        <f>E23</f>
        <v>135</v>
      </c>
    </row>
    <row r="24" spans="1:43" ht="12.75" customHeight="1" x14ac:dyDescent="0.2">
      <c r="A24" s="222"/>
      <c r="B24" s="222" t="s">
        <v>41</v>
      </c>
      <c r="C24" s="222"/>
      <c r="D24" s="244">
        <v>-586</v>
      </c>
      <c r="E24" s="244">
        <v>-1865</v>
      </c>
      <c r="F24" s="244">
        <v>-345</v>
      </c>
      <c r="G24" s="232">
        <f>E24+F24-D24</f>
        <v>-1624</v>
      </c>
      <c r="H24" s="232">
        <f>E24</f>
        <v>-1865</v>
      </c>
    </row>
    <row r="25" spans="1:43" ht="12.75" customHeight="1" x14ac:dyDescent="0.2">
      <c r="A25" s="222"/>
      <c r="B25" s="219" t="s">
        <v>75</v>
      </c>
      <c r="C25" s="222"/>
      <c r="D25" s="233">
        <f>SUM(D23:D24)</f>
        <v>-565</v>
      </c>
      <c r="E25" s="233">
        <f>SUM(E23:E24)</f>
        <v>-1730</v>
      </c>
      <c r="F25" s="233">
        <f>SUM(F23:F24)</f>
        <v>-269</v>
      </c>
      <c r="G25" s="233">
        <f>SUM(G23:G24)</f>
        <v>-1434</v>
      </c>
      <c r="H25" s="233">
        <f>SUM(H23:H24)</f>
        <v>-1730</v>
      </c>
    </row>
    <row r="26" spans="1:43" ht="21" customHeight="1" collapsed="1" x14ac:dyDescent="0.2">
      <c r="A26" s="219" t="s">
        <v>96</v>
      </c>
      <c r="B26" s="219"/>
      <c r="C26" s="222"/>
      <c r="D26" s="226">
        <f>D19-D21-D25</f>
        <v>8542</v>
      </c>
      <c r="E26" s="226">
        <f>E19-E21-E25</f>
        <v>42954</v>
      </c>
      <c r="F26" s="226">
        <f>F19-F21-F25</f>
        <v>16706</v>
      </c>
      <c r="G26" s="226">
        <f>G19-G21-G25</f>
        <v>51118</v>
      </c>
      <c r="H26" s="226">
        <f>H19-H21-H25</f>
        <v>58330.552000000011</v>
      </c>
    </row>
    <row r="27" spans="1:43" ht="12.75" customHeight="1" x14ac:dyDescent="0.2">
      <c r="A27" s="222"/>
      <c r="B27" s="229" t="s">
        <v>168</v>
      </c>
      <c r="C27" s="227"/>
      <c r="D27" s="228">
        <f>D26/D6</f>
        <v>0.20753662625428218</v>
      </c>
      <c r="E27" s="228">
        <f>E26/E6</f>
        <v>0.23532956768039798</v>
      </c>
      <c r="F27" s="228">
        <f>F26/F6</f>
        <v>0.30202118812597173</v>
      </c>
      <c r="G27" s="228">
        <f>G26/G6</f>
        <v>0.25990177037044571</v>
      </c>
      <c r="H27" s="228">
        <f>H26/H6</f>
        <v>0.2327546859732664</v>
      </c>
    </row>
    <row r="28" spans="1:43" ht="21" customHeight="1" x14ac:dyDescent="0.2">
      <c r="A28" s="222" t="s">
        <v>46</v>
      </c>
      <c r="B28" s="222"/>
      <c r="C28" s="222"/>
      <c r="D28" s="225">
        <f>D29*D26</f>
        <v>1014.2042026556659</v>
      </c>
      <c r="E28" s="225">
        <f>E29*E26</f>
        <v>6979.7346616197328</v>
      </c>
      <c r="F28" s="225">
        <f>F29*F26</f>
        <v>2631.9230371658127</v>
      </c>
      <c r="G28" s="225">
        <f>E28+F28-D28</f>
        <v>8597.4534961298796</v>
      </c>
      <c r="H28" s="225">
        <f>H29*H26</f>
        <v>9478.3204271036993</v>
      </c>
    </row>
    <row r="29" spans="1:43" ht="12.75" customHeight="1" x14ac:dyDescent="0.2">
      <c r="A29" s="222"/>
      <c r="B29" s="229" t="s">
        <v>169</v>
      </c>
      <c r="C29" s="227"/>
      <c r="D29" s="245">
        <f>921/7757</f>
        <v>0.11873146835116669</v>
      </c>
      <c r="E29" s="245">
        <f>7813/48082</f>
        <v>0.16249324071378063</v>
      </c>
      <c r="F29" s="245">
        <f>3353/21283</f>
        <v>0.15754357938260583</v>
      </c>
      <c r="G29" s="230">
        <f>G28/G26</f>
        <v>0.16818837779509918</v>
      </c>
      <c r="H29" s="230">
        <f>E29</f>
        <v>0.16249324071378063</v>
      </c>
    </row>
    <row r="30" spans="1:43" ht="21" customHeight="1" x14ac:dyDescent="0.2">
      <c r="A30" s="219" t="s">
        <v>98</v>
      </c>
      <c r="B30" s="219"/>
      <c r="C30" s="222"/>
      <c r="D30" s="226">
        <f>D26-D28</f>
        <v>7527.7957973443345</v>
      </c>
      <c r="E30" s="226">
        <f>E26-E28</f>
        <v>35974.265338380268</v>
      </c>
      <c r="F30" s="226">
        <f>F26-F28</f>
        <v>14074.076962834188</v>
      </c>
      <c r="G30" s="226">
        <f>G26-G28</f>
        <v>42520.546503870122</v>
      </c>
      <c r="H30" s="226">
        <f>H26-H28</f>
        <v>48852.231572896315</v>
      </c>
    </row>
    <row r="31" spans="1:43" x14ac:dyDescent="0.2">
      <c r="A31" s="222"/>
      <c r="B31" s="222" t="s">
        <v>187</v>
      </c>
      <c r="C31" s="222"/>
      <c r="D31" s="224">
        <f>81*(1-D29)</f>
        <v>71.382751063555503</v>
      </c>
      <c r="E31" s="224">
        <f>344*(1-E29)</f>
        <v>288.10232519445947</v>
      </c>
      <c r="F31" s="224">
        <f>-113*(1-F29)</f>
        <v>-95.19757552976553</v>
      </c>
      <c r="G31" s="225">
        <f t="shared" ref="G31:G36" si="0">E31+F31-D31</f>
        <v>121.52199860113845</v>
      </c>
      <c r="H31" s="224">
        <v>0</v>
      </c>
    </row>
    <row r="32" spans="1:43" x14ac:dyDescent="0.2">
      <c r="A32" s="222"/>
      <c r="B32" s="222" t="s">
        <v>188</v>
      </c>
      <c r="C32" s="222"/>
      <c r="D32" s="224">
        <f>-12*(1-D29)</f>
        <v>-10.575222379786</v>
      </c>
      <c r="E32" s="224">
        <f>-725*(1-E29)</f>
        <v>-607.19240048250902</v>
      </c>
      <c r="F32" s="224">
        <f>86*(1-F29)</f>
        <v>72.451252173095895</v>
      </c>
      <c r="G32" s="225">
        <f t="shared" si="0"/>
        <v>-524.16592592962706</v>
      </c>
      <c r="H32" s="224">
        <v>0</v>
      </c>
    </row>
    <row r="33" spans="1:39" x14ac:dyDescent="0.2">
      <c r="A33" s="222"/>
      <c r="B33" s="222" t="s">
        <v>189</v>
      </c>
      <c r="C33" s="222"/>
      <c r="D33" s="224">
        <f>814*(1-D29)</f>
        <v>717.35258476215029</v>
      </c>
      <c r="E33" s="224">
        <f>-5592*(1-E29)</f>
        <v>-4683.3377979285387</v>
      </c>
      <c r="F33" s="224">
        <f>-4837*(1-F29)</f>
        <v>-4074.9617065263355</v>
      </c>
      <c r="G33" s="225">
        <f t="shared" si="0"/>
        <v>-9475.6520892170229</v>
      </c>
      <c r="H33" s="224">
        <v>0</v>
      </c>
    </row>
    <row r="34" spans="1:39" x14ac:dyDescent="0.2">
      <c r="A34" s="222"/>
      <c r="B34" s="222" t="s">
        <v>190</v>
      </c>
      <c r="C34" s="222"/>
      <c r="D34" s="224">
        <f>-6*(1-D29)</f>
        <v>-5.2876111898930001</v>
      </c>
      <c r="E34" s="224">
        <f>609*(1-E29)</f>
        <v>510.04161640530754</v>
      </c>
      <c r="F34" s="224">
        <f>665*(1-F29)</f>
        <v>560.23351971056707</v>
      </c>
      <c r="G34" s="225">
        <f t="shared" si="0"/>
        <v>1075.5627473057675</v>
      </c>
      <c r="H34" s="224">
        <v>0</v>
      </c>
    </row>
    <row r="35" spans="1:39" x14ac:dyDescent="0.2">
      <c r="A35" s="222"/>
      <c r="B35" s="222" t="s">
        <v>191</v>
      </c>
      <c r="C35" s="222"/>
      <c r="D35" s="224">
        <f>-74*(1-D29)</f>
        <v>-65.213871342013661</v>
      </c>
      <c r="E35" s="224">
        <f>-401*(1-E29)</f>
        <v>-335.84021047377394</v>
      </c>
      <c r="F35" s="224">
        <f>-5*(1-F29)</f>
        <v>-4.2122821030869702</v>
      </c>
      <c r="G35" s="225">
        <f t="shared" si="0"/>
        <v>-274.83862123484727</v>
      </c>
      <c r="H35" s="224">
        <v>0</v>
      </c>
    </row>
    <row r="36" spans="1:39" x14ac:dyDescent="0.2">
      <c r="A36" s="222"/>
      <c r="B36" s="222" t="s">
        <v>109</v>
      </c>
      <c r="C36" s="222"/>
      <c r="D36" s="224">
        <f>-18*(1-D29)</f>
        <v>-15.862833569679001</v>
      </c>
      <c r="E36" s="224">
        <f>637*(1-E29)</f>
        <v>533.49180566532175</v>
      </c>
      <c r="F36" s="224">
        <f>-373*(1-F29)</f>
        <v>-314.23624489028799</v>
      </c>
      <c r="G36" s="225">
        <f t="shared" si="0"/>
        <v>235.11839434471275</v>
      </c>
      <c r="H36" s="224">
        <v>0</v>
      </c>
    </row>
    <row r="37" spans="1:39" ht="21" customHeight="1" x14ac:dyDescent="0.2">
      <c r="A37" s="219" t="s">
        <v>170</v>
      </c>
      <c r="B37" s="219"/>
      <c r="C37" s="221"/>
      <c r="D37" s="226">
        <f>D30-SUM(D31:D36)</f>
        <v>6836</v>
      </c>
      <c r="E37" s="226">
        <f>E30-SUM(E31:E36)</f>
        <v>40269</v>
      </c>
      <c r="F37" s="226">
        <f>F30-SUM(F31:F36)</f>
        <v>17930</v>
      </c>
      <c r="G37" s="226">
        <f>G30-SUM(G31:G36)</f>
        <v>51363</v>
      </c>
      <c r="H37" s="226">
        <f>H30-SUM(H31:H36)</f>
        <v>48852.231572896315</v>
      </c>
    </row>
    <row r="38" spans="1:39" ht="21" customHeight="1" x14ac:dyDescent="0.2">
      <c r="A38" s="219" t="s">
        <v>171</v>
      </c>
      <c r="B38" s="222"/>
      <c r="C38" s="222"/>
      <c r="D38" s="234"/>
      <c r="E38" s="234"/>
      <c r="F38" s="234"/>
      <c r="G38" s="234"/>
      <c r="H38" s="234"/>
    </row>
    <row r="39" spans="1:39" ht="12.75" customHeight="1" x14ac:dyDescent="0.2">
      <c r="A39" s="222"/>
      <c r="B39" s="222" t="s">
        <v>3</v>
      </c>
      <c r="C39" s="222"/>
      <c r="D39" s="235">
        <f>D37/D45</f>
        <v>9.9582644417413864</v>
      </c>
      <c r="E39" s="235">
        <f>E37/E45</f>
        <v>59.148139879203775</v>
      </c>
      <c r="F39" s="235">
        <f>F37/F45</f>
        <v>26.633195686402662</v>
      </c>
      <c r="G39" s="235">
        <f>G37/G45</f>
        <v>76.294524821009475</v>
      </c>
      <c r="H39" s="235">
        <f>H37/H45</f>
        <v>72.89595779892619</v>
      </c>
    </row>
    <row r="40" spans="1:39" ht="12.75" customHeight="1" x14ac:dyDescent="0.2">
      <c r="A40" s="222"/>
      <c r="B40" s="222" t="s">
        <v>4</v>
      </c>
      <c r="C40" s="222"/>
      <c r="D40" s="235">
        <f>D37/D46</f>
        <v>9.2542077810613641</v>
      </c>
      <c r="E40" s="235">
        <f>E37/E46</f>
        <v>54.9215095266022</v>
      </c>
      <c r="F40" s="235">
        <f>F37/F46</f>
        <v>24.63213222495607</v>
      </c>
      <c r="G40" s="235">
        <f>G37/G46</f>
        <v>70.562197851110909</v>
      </c>
      <c r="H40" s="235">
        <f>H37/H46</f>
        <v>67.395886796455684</v>
      </c>
    </row>
    <row r="41" spans="1:39" ht="21" customHeight="1" x14ac:dyDescent="0.2">
      <c r="A41" s="219" t="s">
        <v>172</v>
      </c>
      <c r="B41" s="222"/>
      <c r="C41" s="222"/>
      <c r="D41" s="234"/>
      <c r="E41" s="234"/>
      <c r="F41" s="234"/>
      <c r="G41" s="234"/>
      <c r="H41" s="234"/>
    </row>
    <row r="42" spans="1:39" ht="12.75" customHeight="1" x14ac:dyDescent="0.2">
      <c r="A42" s="222"/>
      <c r="B42" s="222" t="s">
        <v>3</v>
      </c>
      <c r="C42" s="222"/>
      <c r="D42" s="235">
        <f>D30/D45</f>
        <v>10.966030019512043</v>
      </c>
      <c r="E42" s="235">
        <f>E30/E45</f>
        <v>52.839923471804816</v>
      </c>
      <c r="F42" s="235">
        <f>F30/F45</f>
        <v>20.905613265847993</v>
      </c>
      <c r="G42" s="235">
        <f>G30/G45</f>
        <v>63.159957374810787</v>
      </c>
      <c r="H42" s="235">
        <f>H30/H45</f>
        <v>72.89595779892619</v>
      </c>
    </row>
    <row r="43" spans="1:39" ht="12.75" customHeight="1" x14ac:dyDescent="0.2">
      <c r="A43" s="222"/>
      <c r="B43" s="222" t="s">
        <v>4</v>
      </c>
      <c r="C43" s="222"/>
      <c r="D43" s="235">
        <f>D30/D46</f>
        <v>10.190723587189142</v>
      </c>
      <c r="E43" s="235">
        <f>E30/E46</f>
        <v>49.064068054691383</v>
      </c>
      <c r="F43" s="235">
        <f>F30/F46</f>
        <v>19.334887043655318</v>
      </c>
      <c r="G43" s="235">
        <f>G30/G46</f>
        <v>58.414485430045872</v>
      </c>
      <c r="H43" s="235">
        <f>H30/H46</f>
        <v>67.395886796455684</v>
      </c>
    </row>
    <row r="44" spans="1:39" ht="21" customHeight="1" x14ac:dyDescent="0.2">
      <c r="A44" s="219" t="s">
        <v>54</v>
      </c>
      <c r="B44" s="222"/>
      <c r="C44" s="221"/>
      <c r="D44" s="226"/>
      <c r="E44" s="226"/>
      <c r="F44" s="226"/>
      <c r="G44" s="226"/>
      <c r="H44" s="226"/>
    </row>
    <row r="45" spans="1:39" ht="12.75" customHeight="1" x14ac:dyDescent="0.2">
      <c r="A45" s="222"/>
      <c r="B45" s="222" t="s">
        <v>3</v>
      </c>
      <c r="C45" s="222"/>
      <c r="D45" s="236">
        <f>300.249+46.424+339.792</f>
        <v>686.46499999999992</v>
      </c>
      <c r="E45" s="236">
        <f>299.815+46.182+334.819</f>
        <v>680.81600000000003</v>
      </c>
      <c r="F45" s="236">
        <f>300.8+45.84+326.58</f>
        <v>673.22</v>
      </c>
      <c r="G45" s="237">
        <f>F45</f>
        <v>673.22</v>
      </c>
      <c r="H45" s="237">
        <f>D50/1000000</f>
        <v>670.16379300000006</v>
      </c>
    </row>
    <row r="46" spans="1:39" ht="12.75" customHeight="1" x14ac:dyDescent="0.2">
      <c r="A46" s="238"/>
      <c r="B46" s="238" t="s">
        <v>4</v>
      </c>
      <c r="C46" s="238"/>
      <c r="D46" s="239">
        <f>346.853+46.424+345.414</f>
        <v>738.69100000000003</v>
      </c>
      <c r="E46" s="239">
        <f>346.084+46.182+340.944</f>
        <v>733.21</v>
      </c>
      <c r="F46" s="239">
        <f>346.658+45.84+335.413</f>
        <v>727.91100000000006</v>
      </c>
      <c r="G46" s="240">
        <f>F46</f>
        <v>727.91100000000006</v>
      </c>
      <c r="H46" s="240">
        <f>D56/1000000</f>
        <v>724.85479299999997</v>
      </c>
    </row>
    <row r="47" spans="1:39" ht="12.75" customHeight="1" x14ac:dyDescent="0.2"/>
    <row r="48" spans="1:39" ht="19.899999999999999" customHeight="1" x14ac:dyDescent="0.2">
      <c r="A48" s="460" t="s">
        <v>199</v>
      </c>
      <c r="B48" s="461"/>
      <c r="C48" s="461"/>
      <c r="D48" s="462"/>
      <c r="J48" s="55"/>
      <c r="K48" s="49"/>
      <c r="AL48"/>
      <c r="AM48"/>
    </row>
    <row r="49" spans="1:43" ht="19.899999999999999" customHeight="1" x14ac:dyDescent="0.2">
      <c r="A49" s="248" t="s">
        <v>200</v>
      </c>
      <c r="B49" s="248"/>
      <c r="C49" s="248"/>
      <c r="D49" s="249">
        <v>2527.37</v>
      </c>
      <c r="J49" s="55"/>
      <c r="K49" s="49"/>
      <c r="AL49"/>
      <c r="AM49"/>
    </row>
    <row r="50" spans="1:43" ht="19.899999999999999" customHeight="1" x14ac:dyDescent="0.2">
      <c r="A50" s="248" t="s">
        <v>201</v>
      </c>
      <c r="B50" s="248"/>
      <c r="C50" s="250"/>
      <c r="D50" s="251">
        <f>300746844+45836948+323580001</f>
        <v>670163793</v>
      </c>
      <c r="J50" s="55"/>
      <c r="K50" s="49"/>
      <c r="AL50"/>
      <c r="AM50"/>
    </row>
    <row r="51" spans="1:43" ht="19.899999999999999" customHeight="1" x14ac:dyDescent="0.2">
      <c r="A51" s="248" t="s">
        <v>202</v>
      </c>
      <c r="B51" s="248"/>
      <c r="C51" s="248"/>
      <c r="D51" s="263">
        <f>(45840+18+8833)*1000</f>
        <v>54691000</v>
      </c>
      <c r="J51" s="55"/>
      <c r="K51" s="49"/>
      <c r="AL51"/>
      <c r="AM51"/>
    </row>
    <row r="52" spans="1:43" ht="19.899999999999999" customHeight="1" x14ac:dyDescent="0.2">
      <c r="A52" s="252" t="s">
        <v>203</v>
      </c>
      <c r="B52" s="252"/>
      <c r="C52" s="252"/>
      <c r="D52" s="249" t="s">
        <v>193</v>
      </c>
      <c r="J52" s="55"/>
      <c r="K52" s="49"/>
      <c r="AL52"/>
      <c r="AM52"/>
    </row>
    <row r="53" spans="1:43" ht="19.899999999999999" customHeight="1" x14ac:dyDescent="0.2">
      <c r="A53" s="252" t="s">
        <v>204</v>
      </c>
      <c r="B53" s="252"/>
      <c r="C53" s="252"/>
      <c r="D53" s="249" t="s">
        <v>193</v>
      </c>
      <c r="J53" s="55"/>
      <c r="K53" s="49"/>
      <c r="AL53"/>
      <c r="AM53"/>
    </row>
    <row r="54" spans="1:43" ht="19.899999999999999" customHeight="1" x14ac:dyDescent="0.2">
      <c r="A54" s="248" t="s">
        <v>205</v>
      </c>
      <c r="B54" s="252"/>
      <c r="C54" s="252"/>
      <c r="D54" s="249" t="s">
        <v>193</v>
      </c>
      <c r="J54" s="55"/>
      <c r="K54" s="49"/>
      <c r="AL54"/>
      <c r="AM54"/>
    </row>
    <row r="55" spans="1:43" ht="19.899999999999999" customHeight="1" x14ac:dyDescent="0.2">
      <c r="A55" s="253" t="s">
        <v>206</v>
      </c>
      <c r="B55" s="254"/>
      <c r="C55" s="254"/>
      <c r="D55" s="255">
        <f>D51</f>
        <v>54691000</v>
      </c>
      <c r="J55" s="55"/>
      <c r="K55" s="49"/>
      <c r="AL55"/>
      <c r="AM55"/>
    </row>
    <row r="56" spans="1:43" ht="19.899999999999999" customHeight="1" x14ac:dyDescent="0.2">
      <c r="A56" s="256" t="s">
        <v>207</v>
      </c>
      <c r="B56" s="254"/>
      <c r="C56" s="254"/>
      <c r="D56" s="257">
        <f>D55+D50</f>
        <v>724854793</v>
      </c>
      <c r="J56" s="55"/>
      <c r="K56" s="49"/>
      <c r="AL56"/>
      <c r="AM56"/>
    </row>
    <row r="57" spans="1:43" ht="12.75" customHeight="1" x14ac:dyDescent="0.2">
      <c r="J57" s="55"/>
      <c r="K57" s="49"/>
      <c r="AL57"/>
      <c r="AM57"/>
    </row>
    <row r="58" spans="1:43" ht="20.100000000000001" customHeight="1" x14ac:dyDescent="0.2">
      <c r="A58" s="460" t="s">
        <v>173</v>
      </c>
      <c r="B58" s="461"/>
      <c r="C58" s="461"/>
      <c r="D58" s="462"/>
      <c r="J58" s="55"/>
      <c r="K58" s="55"/>
      <c r="L58" s="55"/>
      <c r="M58" s="49"/>
      <c r="N58" s="49"/>
      <c r="O58" s="49"/>
      <c r="AL58"/>
      <c r="AM58"/>
      <c r="AN58"/>
      <c r="AO58"/>
      <c r="AP58"/>
      <c r="AQ58"/>
    </row>
    <row r="59" spans="1:43" ht="20.100000000000001" customHeight="1" x14ac:dyDescent="0.2">
      <c r="A59" s="256" t="s">
        <v>174</v>
      </c>
      <c r="B59" s="258"/>
      <c r="C59" s="258"/>
      <c r="D59" s="259">
        <f>D56*D49/1000000</f>
        <v>1831976.2581844099</v>
      </c>
      <c r="J59" s="55"/>
      <c r="K59" s="55"/>
      <c r="L59" s="55"/>
      <c r="M59" s="49"/>
      <c r="N59" s="49"/>
      <c r="O59" s="49"/>
      <c r="AL59"/>
      <c r="AM59"/>
      <c r="AN59"/>
      <c r="AO59"/>
      <c r="AP59"/>
      <c r="AQ59"/>
    </row>
    <row r="60" spans="1:43" ht="20.100000000000001" customHeight="1" x14ac:dyDescent="0.2">
      <c r="A60" s="248" t="s">
        <v>33</v>
      </c>
      <c r="B60" s="248"/>
      <c r="C60" s="248"/>
      <c r="D60" s="260">
        <v>0</v>
      </c>
      <c r="J60" s="55"/>
      <c r="K60" s="55"/>
      <c r="L60" s="55"/>
      <c r="M60" s="49"/>
      <c r="N60" s="49"/>
      <c r="O60" s="49"/>
      <c r="AL60"/>
      <c r="AM60"/>
      <c r="AN60"/>
      <c r="AO60"/>
      <c r="AP60"/>
      <c r="AQ60"/>
    </row>
    <row r="61" spans="1:43" ht="20.100000000000001" customHeight="1" x14ac:dyDescent="0.2">
      <c r="A61" s="248" t="s">
        <v>175</v>
      </c>
      <c r="B61" s="248"/>
      <c r="C61" s="248"/>
      <c r="D61" s="260">
        <v>13887</v>
      </c>
      <c r="J61" s="55"/>
      <c r="K61" s="55"/>
      <c r="L61" s="55"/>
      <c r="M61" s="49"/>
      <c r="N61" s="49"/>
      <c r="O61" s="49"/>
      <c r="AL61"/>
      <c r="AM61"/>
      <c r="AN61"/>
      <c r="AO61"/>
      <c r="AP61"/>
      <c r="AQ61"/>
    </row>
    <row r="62" spans="1:43" ht="20.100000000000001" customHeight="1" x14ac:dyDescent="0.2">
      <c r="A62" s="248" t="s">
        <v>176</v>
      </c>
      <c r="B62" s="248"/>
      <c r="C62" s="248"/>
      <c r="D62" s="260">
        <v>0</v>
      </c>
      <c r="J62" s="55"/>
      <c r="K62" s="55"/>
      <c r="L62" s="55"/>
      <c r="M62" s="49"/>
      <c r="N62" s="49"/>
      <c r="O62" s="49"/>
      <c r="AL62"/>
      <c r="AM62"/>
      <c r="AN62"/>
      <c r="AO62"/>
      <c r="AP62"/>
      <c r="AQ62"/>
    </row>
    <row r="63" spans="1:43" ht="20.100000000000001" customHeight="1" x14ac:dyDescent="0.2">
      <c r="A63" s="248" t="s">
        <v>177</v>
      </c>
      <c r="B63" s="248"/>
      <c r="C63" s="248"/>
      <c r="D63" s="260">
        <v>0</v>
      </c>
      <c r="J63" s="55"/>
      <c r="K63" s="55"/>
      <c r="L63" s="55"/>
      <c r="M63" s="49"/>
      <c r="N63" s="49"/>
      <c r="O63" s="49"/>
      <c r="AL63"/>
      <c r="AM63"/>
      <c r="AN63"/>
      <c r="AO63"/>
      <c r="AP63"/>
      <c r="AQ63"/>
    </row>
    <row r="64" spans="1:43" ht="20.100000000000001" customHeight="1" x14ac:dyDescent="0.2">
      <c r="A64" s="248" t="s">
        <v>178</v>
      </c>
      <c r="B64" s="248"/>
      <c r="C64" s="248"/>
      <c r="D64" s="260">
        <v>0</v>
      </c>
      <c r="J64" s="55"/>
      <c r="K64" s="55"/>
      <c r="L64" s="55"/>
      <c r="M64" s="49"/>
      <c r="N64" s="49"/>
      <c r="O64" s="49"/>
      <c r="AL64"/>
      <c r="AM64"/>
      <c r="AN64"/>
      <c r="AO64"/>
      <c r="AP64"/>
      <c r="AQ64"/>
    </row>
    <row r="65" spans="1:43" ht="20.100000000000001" customHeight="1" x14ac:dyDescent="0.2">
      <c r="A65" s="248" t="s">
        <v>186</v>
      </c>
      <c r="B65" s="248"/>
      <c r="C65" s="248"/>
      <c r="D65" s="260">
        <v>0</v>
      </c>
      <c r="J65" s="55"/>
      <c r="K65" s="55"/>
      <c r="L65" s="55"/>
      <c r="M65" s="49"/>
      <c r="N65" s="49"/>
      <c r="O65" s="49"/>
      <c r="AL65"/>
      <c r="AM65"/>
      <c r="AN65"/>
      <c r="AO65"/>
      <c r="AP65"/>
      <c r="AQ65"/>
    </row>
    <row r="66" spans="1:43" ht="20.100000000000001" customHeight="1" x14ac:dyDescent="0.2">
      <c r="A66" s="248" t="s">
        <v>179</v>
      </c>
      <c r="B66" s="248"/>
      <c r="C66" s="248"/>
      <c r="D66" s="260">
        <v>-135104</v>
      </c>
      <c r="J66" s="55"/>
      <c r="K66" s="55"/>
      <c r="L66" s="55"/>
      <c r="M66" s="49"/>
      <c r="N66" s="49"/>
      <c r="O66" s="49"/>
      <c r="AL66"/>
      <c r="AM66"/>
      <c r="AN66"/>
      <c r="AO66"/>
      <c r="AP66"/>
      <c r="AQ66"/>
    </row>
    <row r="67" spans="1:43" ht="20.100000000000001" customHeight="1" x14ac:dyDescent="0.2">
      <c r="A67" s="256" t="s">
        <v>180</v>
      </c>
      <c r="B67" s="261"/>
      <c r="C67" s="261"/>
      <c r="D67" s="262">
        <f>SUM(D59:D66)</f>
        <v>1710759.2581844099</v>
      </c>
      <c r="J67" s="55"/>
      <c r="K67" s="55"/>
      <c r="L67" s="55"/>
      <c r="M67" s="49"/>
      <c r="N67" s="49"/>
      <c r="O67" s="49"/>
      <c r="AL67"/>
      <c r="AM67"/>
      <c r="AN67"/>
      <c r="AO67"/>
      <c r="AP67"/>
      <c r="AQ67"/>
    </row>
    <row r="68" spans="1:43" ht="20.100000000000001" customHeight="1" x14ac:dyDescent="0.2">
      <c r="J68" s="55"/>
      <c r="K68" s="55"/>
      <c r="L68" s="55"/>
      <c r="M68" s="49"/>
      <c r="N68" s="49"/>
      <c r="O68" s="49"/>
      <c r="AL68"/>
      <c r="AM68"/>
      <c r="AN68"/>
      <c r="AO68"/>
      <c r="AP68"/>
      <c r="AQ68"/>
    </row>
  </sheetData>
  <mergeCells count="2">
    <mergeCell ref="A58:D58"/>
    <mergeCell ref="A48:D4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Income Statement</vt:lpstr>
      <vt:lpstr>Cash Flow Statement</vt:lpstr>
      <vt:lpstr>Balance Sheet</vt:lpstr>
      <vt:lpstr>Depreciation</vt:lpstr>
      <vt:lpstr>Operating Working Capital</vt:lpstr>
      <vt:lpstr>Debt Schedule</vt:lpstr>
      <vt:lpstr>---&gt; Valuation</vt:lpstr>
      <vt:lpstr>DCF Analysis</vt:lpstr>
      <vt:lpstr>Comparable Companies Anaylsis</vt:lpstr>
      <vt:lpstr>GOOG Comp</vt:lpstr>
      <vt:lpstr>'Balance Sheet'!Print_Area</vt:lpstr>
      <vt:lpstr>'Cash Flow Statement'!Print_Area</vt:lpstr>
      <vt:lpstr>'Debt Schedule'!Print_Area</vt:lpstr>
      <vt:lpstr>Depreciation!Print_Area</vt:lpstr>
      <vt:lpstr>'Income Statement'!Print_Area</vt:lpstr>
      <vt:lpstr>'Operating Working Capital'!Print_Area</vt:lpstr>
      <vt:lpstr>'Income Statement'!Print_Titles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dc:creator>
  <cp:lastModifiedBy>Kaizo</cp:lastModifiedBy>
  <dcterms:created xsi:type="dcterms:W3CDTF">2006-06-04T11:56:43Z</dcterms:created>
  <dcterms:modified xsi:type="dcterms:W3CDTF">2026-06-23T15:13:08Z</dcterms:modified>
</cp:coreProperties>
</file>